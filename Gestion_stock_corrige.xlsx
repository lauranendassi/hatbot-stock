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istes" sheetId="2" state="visible" r:id="rId2"/>
    <sheet name="Produits" sheetId="3" state="visible" r:id="rId3"/>
    <sheet name="Achats" sheetId="4" state="visible" r:id="rId4"/>
    <sheet name="Ventes" sheetId="5" state="visible" r:id="rId5"/>
    <sheet name="Calendrier 2026" sheetId="6" state="visible" r:id="rId6"/>
    <sheet name="Vue du jour" sheetId="7" state="visible" r:id="rId7"/>
    <sheet name="Fiche du jour" sheetId="8" state="visible" r:id="rId8"/>
    <sheet name="Prix dynamiques" sheetId="9" state="visible" r:id="rId9"/>
    <sheet name="Alertes" sheetId="10" state="visible" r:id="rId10"/>
    <sheet name="Top produits" sheetId="11" state="visible" r:id="rId11"/>
    <sheet name="Clients" sheetId="12" state="visible" r:id="rId12"/>
    <sheet name="Rapport mensuel" sheetId="13" state="visible" r:id="rId13"/>
    <sheet name="Prévisions" sheetId="14" state="visible" r:id="rId14"/>
    <sheet name="Données chatbot" sheetId="15" state="visible" r:id="rId15"/>
  </sheets>
  <definedNames>
    <definedName name="ListeProduits">Produits!$B$5:$B$104</definedName>
    <definedName name="ListeFournisseurs">Listes!$B$4:$B$100</definedName>
    <definedName name="ListeClients">Listes!$C$4:$C$100</definedName>
    <definedName name="ListeSKU">Produits!$A$5:$A$104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FCFA&quot;"/>
    <numFmt numFmtId="165" formatCode="yyyy-mm-dd"/>
    <numFmt numFmtId="166" formatCode="dddd dd mmmm yyyy"/>
    <numFmt numFmtId="167" formatCode="0.0%"/>
    <numFmt numFmtId="168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</font>
    <font>
      <b val="1"/>
      <color rgb="00FFFFFF"/>
      <sz val="11"/>
    </font>
    <font>
      <i val="1"/>
    </font>
    <font>
      <i val="1"/>
      <color rgb="007F7F7F"/>
      <sz val="10"/>
    </font>
    <font>
      <b val="1"/>
    </font>
    <font>
      <b val="1"/>
      <color rgb="001F4E78"/>
    </font>
    <font>
      <b val="1"/>
      <i val="1"/>
      <color rgb="001F4E78"/>
    </font>
    <font>
      <b val="1"/>
      <color rgb="001F4E78"/>
      <sz val="13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F8F9FA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5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1" fillId="2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0" fillId="0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0" fillId="0" borderId="1" applyProtection="1" pivotButton="0" quotePrefix="0" xfId="0">
      <protection locked="0" hidden="0"/>
    </xf>
    <xf numFmtId="165" fontId="0" fillId="6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164" fontId="0" fillId="6" borderId="1" pivotButton="0" quotePrefix="0" xfId="0"/>
    <xf numFmtId="0" fontId="6" fillId="0" borderId="0" applyAlignment="1" pivotButton="0" quotePrefix="0" xfId="0">
      <alignment horizontal="right" vertical="center"/>
    </xf>
    <xf numFmtId="166" fontId="7" fillId="7" borderId="1" applyAlignment="1" applyProtection="1" pivotButton="0" quotePrefix="0" xfId="0">
      <alignment horizontal="center" vertical="center"/>
      <protection locked="0" hidden="0"/>
    </xf>
    <xf numFmtId="0" fontId="6" fillId="0" borderId="0" pivotButton="0" quotePrefix="0" xfId="0"/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6" fontId="8" fillId="0" borderId="0" pivotButton="0" quotePrefix="0" xfId="0"/>
    <xf numFmtId="1" fontId="0" fillId="0" borderId="1" pivotButton="0" quotePrefix="0" xfId="0"/>
    <xf numFmtId="0" fontId="4" fillId="0" borderId="0" pivotButton="0" quotePrefix="0" xfId="0"/>
    <xf numFmtId="9" fontId="6" fillId="7" borderId="1" applyProtection="1" pivotButton="0" quotePrefix="0" xfId="0">
      <protection locked="0" hidden="0"/>
    </xf>
    <xf numFmtId="9" fontId="0" fillId="0" borderId="1" pivotButton="0" quotePrefix="0" xfId="0"/>
    <xf numFmtId="167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8" borderId="1" pivotButton="0" quotePrefix="0" xfId="0"/>
    <xf numFmtId="0" fontId="0" fillId="8" borderId="1" pivotButton="0" quotePrefix="0" xfId="0"/>
    <xf numFmtId="164" fontId="0" fillId="8" borderId="1" pivotButton="0" quotePrefix="0" xfId="0"/>
    <xf numFmtId="167" fontId="0" fillId="8" borderId="1" pivotButton="0" quotePrefix="0" xfId="0"/>
    <xf numFmtId="168" fontId="0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CA 2026</a:t>
            </a:r>
          </a:p>
        </rich>
      </tx>
    </title>
    <plotArea>
      <lineChart>
        <grouping val="standard"/>
        <ser>
          <idx val="0"/>
          <order val="0"/>
          <tx>
            <strRef>
              <f>'Rapport mensuel'!C4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'Rapport mensuel'!$A$5:$A$16</f>
            </numRef>
          </cat>
          <val>
            <numRef>
              <f>'Rapport mensuel'!$C$5:$C$16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produits par 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produits'!E4</f>
            </strRef>
          </tx>
          <spPr>
            <a:ln>
              <a:prstDash val="solid"/>
            </a:ln>
          </spPr>
          <cat>
            <numRef>
              <f>'Top produits'!$C$5:$C$9</f>
            </numRef>
          </cat>
          <val>
            <numRef>
              <f>'Top produits'!$E$5:$E$9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'Dashboard'!AA1</f>
            </strRef>
          </tx>
          <spPr>
            <a:ln>
              <a:prstDash val="solid"/>
            </a:ln>
          </spPr>
          <cat>
            <numRef>
              <f>'Dashboard'!$Z$2:$Z$6</f>
            </numRef>
          </cat>
          <val>
            <numRef>
              <f>'Dashboard'!$AA$2:$AA$6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8" customWidth="1" min="4" max="4"/>
    <col width="2" customWidth="1" min="5" max="5"/>
    <col width="12" customWidth="1" min="6" max="6"/>
    <col width="18" customWidth="1" min="7" max="7"/>
    <col width="22" customWidth="1" min="8" max="8"/>
    <col width="8" customWidth="1" min="9" max="9"/>
    <col width="14" customWidth="1" min="10" max="10"/>
    <col width="2" customWidth="1" min="11" max="11"/>
    <col width="12" customWidth="1" min="12" max="12"/>
    <col width="18" customWidth="1" min="13" max="13"/>
    <col width="8" customWidth="1" min="14" max="14"/>
    <col width="2" customWidth="1" min="15" max="15"/>
    <col hidden="1" width="13" customWidth="1" min="26" max="26"/>
    <col hidden="1" width="13" customWidth="1" min="27" max="27"/>
  </cols>
  <sheetData>
    <row r="1">
      <c r="A1" s="1" t="inlineStr">
        <is>
          <t>DASHBOARD — ACTIVITÉ COMMERCIALE</t>
        </is>
      </c>
      <c r="Z1" t="inlineStr">
        <is>
          <t>Catégorie</t>
        </is>
      </c>
      <c r="AA1" t="inlineStr">
        <is>
          <t>Stock</t>
        </is>
      </c>
    </row>
    <row r="2">
      <c r="A2" s="2" t="inlineStr">
        <is>
          <t>Feuille 100 % automatique.</t>
        </is>
      </c>
      <c r="Z2" t="inlineStr">
        <is>
          <t>PC portable</t>
        </is>
      </c>
      <c r="AA2">
        <f>SUMIF(Produits!$K$5:$K$19,Z2,Produits!$H$5:$H$19)</f>
        <v/>
      </c>
    </row>
    <row r="3">
      <c r="Z3" t="inlineStr">
        <is>
          <t>PC fixe</t>
        </is>
      </c>
      <c r="AA3">
        <f>SUMIF(Produits!$K$5:$K$19,Z3,Produits!$H$5:$H$19)</f>
        <v/>
      </c>
    </row>
    <row r="4">
      <c r="A4" s="3" t="inlineStr">
        <is>
          <t>STOCK TOTAL (unités)</t>
        </is>
      </c>
      <c r="C4" s="3" t="inlineStr">
        <is>
          <t>CHIFFRE D'AFFAIRES</t>
        </is>
      </c>
      <c r="E4" s="3" t="inlineStr">
        <is>
          <t>BÉNÉFICE BRUT</t>
        </is>
      </c>
      <c r="H4" s="3" t="inlineStr">
        <is>
          <t>À COMMANDER</t>
        </is>
      </c>
      <c r="Z4" t="inlineStr">
        <is>
          <t>Écran</t>
        </is>
      </c>
      <c r="AA4">
        <f>SUMIF(Produits!$K$5:$K$19,Z4,Produits!$H$5:$H$19)</f>
        <v/>
      </c>
    </row>
    <row r="5">
      <c r="A5" s="4">
        <f>SUM(Produits!$H$5:$H$104)</f>
        <v/>
      </c>
      <c r="C5" s="5">
        <f>SUM(Ventes!$F$5:$F$104)</f>
        <v/>
      </c>
      <c r="E5" s="5">
        <f>SUM(Ventes!$G$5:$G$104)</f>
        <v/>
      </c>
      <c r="H5" s="4">
        <f>COUNTIF(Produits!$I$5:$I$104,"A COMMANDER")</f>
        <v/>
      </c>
      <c r="Z5" t="inlineStr">
        <is>
          <t>Composant</t>
        </is>
      </c>
      <c r="AA5">
        <f>SUMIF(Produits!$K$5:$K$19,Z5,Produits!$H$5:$H$19)</f>
        <v/>
      </c>
    </row>
    <row r="6">
      <c r="A6" s="6" t="inlineStr">
        <is>
          <t>dont ce mois :</t>
        </is>
      </c>
      <c r="C6" s="7">
        <f>SUMPRODUCT((TEXT(Ventes!$A$5:$A$104,"YYYY-MM")=TEXT(TODAY(),"YYYY-MM"))*Ventes!$F$5:$F$104)</f>
        <v/>
      </c>
      <c r="E6" s="7">
        <f>SUMPRODUCT((TEXT(Ventes!$A$5:$A$104,"YYYY-MM")=TEXT(TODAY(),"YYYY-MM"))*Ventes!$G$5:$G$104)</f>
        <v/>
      </c>
      <c r="Z6" t="inlineStr">
        <is>
          <t>Accessoire</t>
        </is>
      </c>
      <c r="AA6">
        <f>SUMIF(Produits!$K$5:$K$19,Z6,Produits!$H$5:$H$19)</f>
        <v/>
      </c>
    </row>
    <row r="7">
      <c r="A7" s="3" t="inlineStr">
        <is>
          <t>PRODUITS A COMMANDER</t>
        </is>
      </c>
      <c r="F7" s="3" t="inlineStr">
        <is>
          <t>10 DERNIERES VENTES</t>
        </is>
      </c>
      <c r="L7" s="3" t="inlineStr">
        <is>
          <t>10 DERNIERS ACHATS</t>
        </is>
      </c>
    </row>
    <row r="8">
      <c r="A8" s="8" t="inlineStr">
        <is>
          <t>SKU</t>
        </is>
      </c>
      <c r="B8" s="8" t="inlineStr">
        <is>
          <t>Produit</t>
        </is>
      </c>
      <c r="C8" s="8" t="inlineStr">
        <is>
          <t>Stock</t>
        </is>
      </c>
      <c r="D8" s="8" t="inlineStr">
        <is>
          <t>Seuil</t>
        </is>
      </c>
      <c r="F8" s="8" t="inlineStr">
        <is>
          <t>Date</t>
        </is>
      </c>
      <c r="G8" s="8" t="inlineStr">
        <is>
          <t>SKU</t>
        </is>
      </c>
      <c r="H8" s="8" t="inlineStr">
        <is>
          <t>Client</t>
        </is>
      </c>
      <c r="I8" s="8" t="inlineStr">
        <is>
          <t>Qté</t>
        </is>
      </c>
      <c r="J8" s="8" t="inlineStr">
        <is>
          <t>CA</t>
        </is>
      </c>
      <c r="L8" s="8" t="inlineStr">
        <is>
          <t>Date</t>
        </is>
      </c>
      <c r="M8" s="8" t="inlineStr">
        <is>
          <t>SKU</t>
        </is>
      </c>
      <c r="N8" s="8" t="inlineStr">
        <is>
          <t>Qté</t>
        </is>
      </c>
    </row>
    <row r="9">
      <c r="A9" s="9">
        <f>IFERROR(INDEX(Produits!$A$5:$A$19,MATCH(1,Produits!$L$5:$L$19,0)),"")</f>
        <v/>
      </c>
      <c r="B9" s="9">
        <f>IF($A9="","",INDEX(Produits!$B:$B,MATCH($A9,Produits!$A:$A,0)))</f>
        <v/>
      </c>
      <c r="C9" s="9">
        <f>IF($A9="","",INDEX(Produits!$H:$H,MATCH($A9,Produits!$A:$A,0)))</f>
        <v/>
      </c>
      <c r="D9" s="9">
        <f>IF($A9="","",INDEX(Produits!$J:$J,MATCH($A9,Produits!$A:$A,0)))</f>
        <v/>
      </c>
      <c r="E9" s="9" t="n"/>
      <c r="F9" s="10">
        <f>IFERROR(INDEX(Ventes!$A$5:$A$104,MATCH(COUNT(Ventes!$H$5:$H$104)-ROWS($F$9:F9)+1,Ventes!$H$5:$H$104,0)),"")</f>
        <v/>
      </c>
      <c r="G9" s="9">
        <f>IF($F9="","",INDEX(Ventes!$C$5:$C$104,MATCH(COUNT(Ventes!$H$5:$H$104)-ROWS($F$9:F9)+1,Ventes!$H$5:$H$104,0)))</f>
        <v/>
      </c>
      <c r="H9" s="9">
        <f>IF($F9="","",INDEX(Ventes!$E$5:$E$104,MATCH(COUNT(Ventes!$H$5:$H$104)-ROWS($F$9:F9)+1,Ventes!$H$5:$H$104,0)))</f>
        <v/>
      </c>
      <c r="I9" s="9">
        <f>IF($F9="","",INDEX(Ventes!$D$5:$D$104,MATCH(COUNT(Ventes!$H$5:$H$104)-ROWS($F$9:F9)+1,Ventes!$H$5:$H$104,0)))</f>
        <v/>
      </c>
      <c r="J9" s="11">
        <f>IF($F9="","",INDEX(Ventes!$F$5:$F$104,MATCH(COUNT(Ventes!$H$5:$H$104)-ROWS($F$9:F9)+1,Ventes!$H$5:$H$104,0)))</f>
        <v/>
      </c>
      <c r="K9" s="9" t="n"/>
      <c r="L9" s="10">
        <f>IFERROR(INDEX(Achats!$A$5:$A$104,MATCH(COUNT(Achats!$F$5:$F$104)-ROWS($L$9:L9)+1,Achats!$F$5:$F$104,0)),"")</f>
        <v/>
      </c>
      <c r="M9" s="9">
        <f>IF($L9="","",INDEX(Achats!$C$5:$C$104,MATCH(COUNT(Achats!$F$5:$F$104)-ROWS($L$9:L9)+1,Achats!$F$5:$F$104,0)))</f>
        <v/>
      </c>
      <c r="N9" s="9">
        <f>IF($L9="","",INDEX(Achats!$D$5:$D$104,MATCH(COUNT(Achats!$F$5:$F$104)-ROWS($L$9:L9)+1,Achats!$F$5:$F$104,0)))</f>
        <v/>
      </c>
    </row>
    <row r="10">
      <c r="A10" s="9">
        <f>IFERROR(INDEX(Produits!$A$5:$A$19,MATCH(2,Produits!$L$5:$L$19,0)),"")</f>
        <v/>
      </c>
      <c r="B10" s="9">
        <f>IF($A10="","",INDEX(Produits!$B:$B,MATCH($A10,Produits!$A:$A,0)))</f>
        <v/>
      </c>
      <c r="C10" s="9">
        <f>IF($A10="","",INDEX(Produits!$H:$H,MATCH($A10,Produits!$A:$A,0)))</f>
        <v/>
      </c>
      <c r="D10" s="9">
        <f>IF($A10="","",INDEX(Produits!$J:$J,MATCH($A10,Produits!$A:$A,0)))</f>
        <v/>
      </c>
      <c r="E10" s="9" t="n"/>
      <c r="F10" s="10">
        <f>IFERROR(INDEX(Ventes!$A$5:$A$104,MATCH(COUNT(Ventes!$H$5:$H$104)-ROWS($F$9:F10)+1,Ventes!$H$5:$H$104,0)),"")</f>
        <v/>
      </c>
      <c r="G10" s="9">
        <f>IF($F10="","",INDEX(Ventes!$C$5:$C$104,MATCH(COUNT(Ventes!$H$5:$H$104)-ROWS($F$9:F10)+1,Ventes!$H$5:$H$104,0)))</f>
        <v/>
      </c>
      <c r="H10" s="9">
        <f>IF($F10="","",INDEX(Ventes!$E$5:$E$104,MATCH(COUNT(Ventes!$H$5:$H$104)-ROWS($F$9:F10)+1,Ventes!$H$5:$H$104,0)))</f>
        <v/>
      </c>
      <c r="I10" s="9">
        <f>IF($F10="","",INDEX(Ventes!$D$5:$D$104,MATCH(COUNT(Ventes!$H$5:$H$104)-ROWS($F$9:F10)+1,Ventes!$H$5:$H$104,0)))</f>
        <v/>
      </c>
      <c r="J10" s="11">
        <f>IF($F10="","",INDEX(Ventes!$F$5:$F$104,MATCH(COUNT(Ventes!$H$5:$H$104)-ROWS($F$9:F10)+1,Ventes!$H$5:$H$104,0)))</f>
        <v/>
      </c>
      <c r="K10" s="9" t="n"/>
      <c r="L10" s="10">
        <f>IFERROR(INDEX(Achats!$A$5:$A$104,MATCH(COUNT(Achats!$F$5:$F$104)-ROWS($L$9:L10)+1,Achats!$F$5:$F$104,0)),"")</f>
        <v/>
      </c>
      <c r="M10" s="9">
        <f>IF($L10="","",INDEX(Achats!$C$5:$C$104,MATCH(COUNT(Achats!$F$5:$F$104)-ROWS($L$9:L10)+1,Achats!$F$5:$F$104,0)))</f>
        <v/>
      </c>
      <c r="N10" s="9">
        <f>IF($L10="","",INDEX(Achats!$D$5:$D$104,MATCH(COUNT(Achats!$F$5:$F$104)-ROWS($L$9:L10)+1,Achats!$F$5:$F$104,0)))</f>
        <v/>
      </c>
    </row>
    <row r="11">
      <c r="A11" s="9">
        <f>IFERROR(INDEX(Produits!$A$5:$A$19,MATCH(3,Produits!$L$5:$L$19,0)),"")</f>
        <v/>
      </c>
      <c r="B11" s="9">
        <f>IF($A11="","",INDEX(Produits!$B:$B,MATCH($A11,Produits!$A:$A,0)))</f>
        <v/>
      </c>
      <c r="C11" s="9">
        <f>IF($A11="","",INDEX(Produits!$H:$H,MATCH($A11,Produits!$A:$A,0)))</f>
        <v/>
      </c>
      <c r="D11" s="9">
        <f>IF($A11="","",INDEX(Produits!$J:$J,MATCH($A11,Produits!$A:$A,0)))</f>
        <v/>
      </c>
      <c r="E11" s="9" t="n"/>
      <c r="F11" s="10">
        <f>IFERROR(INDEX(Ventes!$A$5:$A$104,MATCH(COUNT(Ventes!$H$5:$H$104)-ROWS($F$9:F11)+1,Ventes!$H$5:$H$104,0)),"")</f>
        <v/>
      </c>
      <c r="G11" s="9">
        <f>IF($F11="","",INDEX(Ventes!$C$5:$C$104,MATCH(COUNT(Ventes!$H$5:$H$104)-ROWS($F$9:F11)+1,Ventes!$H$5:$H$104,0)))</f>
        <v/>
      </c>
      <c r="H11" s="9">
        <f>IF($F11="","",INDEX(Ventes!$E$5:$E$104,MATCH(COUNT(Ventes!$H$5:$H$104)-ROWS($F$9:F11)+1,Ventes!$H$5:$H$104,0)))</f>
        <v/>
      </c>
      <c r="I11" s="9">
        <f>IF($F11="","",INDEX(Ventes!$D$5:$D$104,MATCH(COUNT(Ventes!$H$5:$H$104)-ROWS($F$9:F11)+1,Ventes!$H$5:$H$104,0)))</f>
        <v/>
      </c>
      <c r="J11" s="11">
        <f>IF($F11="","",INDEX(Ventes!$F$5:$F$104,MATCH(COUNT(Ventes!$H$5:$H$104)-ROWS($F$9:F11)+1,Ventes!$H$5:$H$104,0)))</f>
        <v/>
      </c>
      <c r="K11" s="9" t="n"/>
      <c r="L11" s="10">
        <f>IFERROR(INDEX(Achats!$A$5:$A$104,MATCH(COUNT(Achats!$F$5:$F$104)-ROWS($L$9:L11)+1,Achats!$F$5:$F$104,0)),"")</f>
        <v/>
      </c>
      <c r="M11" s="9">
        <f>IF($L11="","",INDEX(Achats!$C$5:$C$104,MATCH(COUNT(Achats!$F$5:$F$104)-ROWS($L$9:L11)+1,Achats!$F$5:$F$104,0)))</f>
        <v/>
      </c>
      <c r="N11" s="9">
        <f>IF($L11="","",INDEX(Achats!$D$5:$D$104,MATCH(COUNT(Achats!$F$5:$F$104)-ROWS($L$9:L11)+1,Achats!$F$5:$F$104,0)))</f>
        <v/>
      </c>
    </row>
    <row r="12">
      <c r="A12" s="9">
        <f>IFERROR(INDEX(Produits!$A$5:$A$19,MATCH(4,Produits!$L$5:$L$19,0)),"")</f>
        <v/>
      </c>
      <c r="B12" s="9">
        <f>IF($A12="","",INDEX(Produits!$B:$B,MATCH($A12,Produits!$A:$A,0)))</f>
        <v/>
      </c>
      <c r="C12" s="9">
        <f>IF($A12="","",INDEX(Produits!$H:$H,MATCH($A12,Produits!$A:$A,0)))</f>
        <v/>
      </c>
      <c r="D12" s="9">
        <f>IF($A12="","",INDEX(Produits!$J:$J,MATCH($A12,Produits!$A:$A,0)))</f>
        <v/>
      </c>
      <c r="E12" s="9" t="n"/>
      <c r="F12" s="10">
        <f>IFERROR(INDEX(Ventes!$A$5:$A$104,MATCH(COUNT(Ventes!$H$5:$H$104)-ROWS($F$9:F12)+1,Ventes!$H$5:$H$104,0)),"")</f>
        <v/>
      </c>
      <c r="G12" s="9">
        <f>IF($F12="","",INDEX(Ventes!$C$5:$C$104,MATCH(COUNT(Ventes!$H$5:$H$104)-ROWS($F$9:F12)+1,Ventes!$H$5:$H$104,0)))</f>
        <v/>
      </c>
      <c r="H12" s="9">
        <f>IF($F12="","",INDEX(Ventes!$E$5:$E$104,MATCH(COUNT(Ventes!$H$5:$H$104)-ROWS($F$9:F12)+1,Ventes!$H$5:$H$104,0)))</f>
        <v/>
      </c>
      <c r="I12" s="9">
        <f>IF($F12="","",INDEX(Ventes!$D$5:$D$104,MATCH(COUNT(Ventes!$H$5:$H$104)-ROWS($F$9:F12)+1,Ventes!$H$5:$H$104,0)))</f>
        <v/>
      </c>
      <c r="J12" s="11">
        <f>IF($F12="","",INDEX(Ventes!$F$5:$F$104,MATCH(COUNT(Ventes!$H$5:$H$104)-ROWS($F$9:F12)+1,Ventes!$H$5:$H$104,0)))</f>
        <v/>
      </c>
      <c r="K12" s="9" t="n"/>
      <c r="L12" s="10">
        <f>IFERROR(INDEX(Achats!$A$5:$A$104,MATCH(COUNT(Achats!$F$5:$F$104)-ROWS($L$9:L12)+1,Achats!$F$5:$F$104,0)),"")</f>
        <v/>
      </c>
      <c r="M12" s="9">
        <f>IF($L12="","",INDEX(Achats!$C$5:$C$104,MATCH(COUNT(Achats!$F$5:$F$104)-ROWS($L$9:L12)+1,Achats!$F$5:$F$104,0)))</f>
        <v/>
      </c>
      <c r="N12" s="9">
        <f>IF($L12="","",INDEX(Achats!$D$5:$D$104,MATCH(COUNT(Achats!$F$5:$F$104)-ROWS($L$9:L12)+1,Achats!$F$5:$F$104,0)))</f>
        <v/>
      </c>
    </row>
    <row r="13">
      <c r="A13" s="9">
        <f>IFERROR(INDEX(Produits!$A$5:$A$19,MATCH(5,Produits!$L$5:$L$19,0)),"")</f>
        <v/>
      </c>
      <c r="B13" s="9">
        <f>IF($A13="","",INDEX(Produits!$B:$B,MATCH($A13,Produits!$A:$A,0)))</f>
        <v/>
      </c>
      <c r="C13" s="9">
        <f>IF($A13="","",INDEX(Produits!$H:$H,MATCH($A13,Produits!$A:$A,0)))</f>
        <v/>
      </c>
      <c r="D13" s="9">
        <f>IF($A13="","",INDEX(Produits!$J:$J,MATCH($A13,Produits!$A:$A,0)))</f>
        <v/>
      </c>
      <c r="E13" s="9" t="n"/>
      <c r="F13" s="10">
        <f>IFERROR(INDEX(Ventes!$A$5:$A$104,MATCH(COUNT(Ventes!$H$5:$H$104)-ROWS($F$9:F13)+1,Ventes!$H$5:$H$104,0)),"")</f>
        <v/>
      </c>
      <c r="G13" s="9">
        <f>IF($F13="","",INDEX(Ventes!$C$5:$C$104,MATCH(COUNT(Ventes!$H$5:$H$104)-ROWS($F$9:F13)+1,Ventes!$H$5:$H$104,0)))</f>
        <v/>
      </c>
      <c r="H13" s="9">
        <f>IF($F13="","",INDEX(Ventes!$E$5:$E$104,MATCH(COUNT(Ventes!$H$5:$H$104)-ROWS($F$9:F13)+1,Ventes!$H$5:$H$104,0)))</f>
        <v/>
      </c>
      <c r="I13" s="9">
        <f>IF($F13="","",INDEX(Ventes!$D$5:$D$104,MATCH(COUNT(Ventes!$H$5:$H$104)-ROWS($F$9:F13)+1,Ventes!$H$5:$H$104,0)))</f>
        <v/>
      </c>
      <c r="J13" s="11">
        <f>IF($F13="","",INDEX(Ventes!$F$5:$F$104,MATCH(COUNT(Ventes!$H$5:$H$104)-ROWS($F$9:F13)+1,Ventes!$H$5:$H$104,0)))</f>
        <v/>
      </c>
      <c r="K13" s="9" t="n"/>
      <c r="L13" s="10">
        <f>IFERROR(INDEX(Achats!$A$5:$A$104,MATCH(COUNT(Achats!$F$5:$F$104)-ROWS($L$9:L13)+1,Achats!$F$5:$F$104,0)),"")</f>
        <v/>
      </c>
      <c r="M13" s="9">
        <f>IF($L13="","",INDEX(Achats!$C$5:$C$104,MATCH(COUNT(Achats!$F$5:$F$104)-ROWS($L$9:L13)+1,Achats!$F$5:$F$104,0)))</f>
        <v/>
      </c>
      <c r="N13" s="9">
        <f>IF($L13="","",INDEX(Achats!$D$5:$D$104,MATCH(COUNT(Achats!$F$5:$F$104)-ROWS($L$9:L13)+1,Achats!$F$5:$F$104,0)))</f>
        <v/>
      </c>
    </row>
    <row r="14">
      <c r="A14" s="9">
        <f>IFERROR(INDEX(Produits!$A$5:$A$19,MATCH(6,Produits!$L$5:$L$19,0)),"")</f>
        <v/>
      </c>
      <c r="B14" s="9">
        <f>IF($A14="","",INDEX(Produits!$B:$B,MATCH($A14,Produits!$A:$A,0)))</f>
        <v/>
      </c>
      <c r="C14" s="9">
        <f>IF($A14="","",INDEX(Produits!$H:$H,MATCH($A14,Produits!$A:$A,0)))</f>
        <v/>
      </c>
      <c r="D14" s="9">
        <f>IF($A14="","",INDEX(Produits!$J:$J,MATCH($A14,Produits!$A:$A,0)))</f>
        <v/>
      </c>
      <c r="E14" s="9" t="n"/>
      <c r="F14" s="10">
        <f>IFERROR(INDEX(Ventes!$A$5:$A$104,MATCH(COUNT(Ventes!$H$5:$H$104)-ROWS($F$9:F14)+1,Ventes!$H$5:$H$104,0)),"")</f>
        <v/>
      </c>
      <c r="G14" s="9">
        <f>IF($F14="","",INDEX(Ventes!$C$5:$C$104,MATCH(COUNT(Ventes!$H$5:$H$104)-ROWS($F$9:F14)+1,Ventes!$H$5:$H$104,0)))</f>
        <v/>
      </c>
      <c r="H14" s="9">
        <f>IF($F14="","",INDEX(Ventes!$E$5:$E$104,MATCH(COUNT(Ventes!$H$5:$H$104)-ROWS($F$9:F14)+1,Ventes!$H$5:$H$104,0)))</f>
        <v/>
      </c>
      <c r="I14" s="9">
        <f>IF($F14="","",INDEX(Ventes!$D$5:$D$104,MATCH(COUNT(Ventes!$H$5:$H$104)-ROWS($F$9:F14)+1,Ventes!$H$5:$H$104,0)))</f>
        <v/>
      </c>
      <c r="J14" s="11">
        <f>IF($F14="","",INDEX(Ventes!$F$5:$F$104,MATCH(COUNT(Ventes!$H$5:$H$104)-ROWS($F$9:F14)+1,Ventes!$H$5:$H$104,0)))</f>
        <v/>
      </c>
      <c r="K14" s="9" t="n"/>
      <c r="L14" s="10">
        <f>IFERROR(INDEX(Achats!$A$5:$A$104,MATCH(COUNT(Achats!$F$5:$F$104)-ROWS($L$9:L14)+1,Achats!$F$5:$F$104,0)),"")</f>
        <v/>
      </c>
      <c r="M14" s="9">
        <f>IF($L14="","",INDEX(Achats!$C$5:$C$104,MATCH(COUNT(Achats!$F$5:$F$104)-ROWS($L$9:L14)+1,Achats!$F$5:$F$104,0)))</f>
        <v/>
      </c>
      <c r="N14" s="9">
        <f>IF($L14="","",INDEX(Achats!$D$5:$D$104,MATCH(COUNT(Achats!$F$5:$F$104)-ROWS($L$9:L14)+1,Achats!$F$5:$F$104,0)))</f>
        <v/>
      </c>
    </row>
    <row r="15">
      <c r="A15" s="9">
        <f>IFERROR(INDEX(Produits!$A$5:$A$19,MATCH(7,Produits!$L$5:$L$19,0)),"")</f>
        <v/>
      </c>
      <c r="B15" s="9">
        <f>IF($A15="","",INDEX(Produits!$B:$B,MATCH($A15,Produits!$A:$A,0)))</f>
        <v/>
      </c>
      <c r="C15" s="9">
        <f>IF($A15="","",INDEX(Produits!$H:$H,MATCH($A15,Produits!$A:$A,0)))</f>
        <v/>
      </c>
      <c r="D15" s="9">
        <f>IF($A15="","",INDEX(Produits!$J:$J,MATCH($A15,Produits!$A:$A,0)))</f>
        <v/>
      </c>
      <c r="E15" s="9" t="n"/>
      <c r="F15" s="10">
        <f>IFERROR(INDEX(Ventes!$A$5:$A$104,MATCH(COUNT(Ventes!$H$5:$H$104)-ROWS($F$9:F15)+1,Ventes!$H$5:$H$104,0)),"")</f>
        <v/>
      </c>
      <c r="G15" s="9">
        <f>IF($F15="","",INDEX(Ventes!$C$5:$C$104,MATCH(COUNT(Ventes!$H$5:$H$104)-ROWS($F$9:F15)+1,Ventes!$H$5:$H$104,0)))</f>
        <v/>
      </c>
      <c r="H15" s="9">
        <f>IF($F15="","",INDEX(Ventes!$E$5:$E$104,MATCH(COUNT(Ventes!$H$5:$H$104)-ROWS($F$9:F15)+1,Ventes!$H$5:$H$104,0)))</f>
        <v/>
      </c>
      <c r="I15" s="9">
        <f>IF($F15="","",INDEX(Ventes!$D$5:$D$104,MATCH(COUNT(Ventes!$H$5:$H$104)-ROWS($F$9:F15)+1,Ventes!$H$5:$H$104,0)))</f>
        <v/>
      </c>
      <c r="J15" s="11">
        <f>IF($F15="","",INDEX(Ventes!$F$5:$F$104,MATCH(COUNT(Ventes!$H$5:$H$104)-ROWS($F$9:F15)+1,Ventes!$H$5:$H$104,0)))</f>
        <v/>
      </c>
      <c r="K15" s="9" t="n"/>
      <c r="L15" s="10">
        <f>IFERROR(INDEX(Achats!$A$5:$A$104,MATCH(COUNT(Achats!$F$5:$F$104)-ROWS($L$9:L15)+1,Achats!$F$5:$F$104,0)),"")</f>
        <v/>
      </c>
      <c r="M15" s="9">
        <f>IF($L15="","",INDEX(Achats!$C$5:$C$104,MATCH(COUNT(Achats!$F$5:$F$104)-ROWS($L$9:L15)+1,Achats!$F$5:$F$104,0)))</f>
        <v/>
      </c>
      <c r="N15" s="9">
        <f>IF($L15="","",INDEX(Achats!$D$5:$D$104,MATCH(COUNT(Achats!$F$5:$F$104)-ROWS($L$9:L15)+1,Achats!$F$5:$F$104,0)))</f>
        <v/>
      </c>
    </row>
    <row r="16">
      <c r="A16" s="9">
        <f>IFERROR(INDEX(Produits!$A$5:$A$19,MATCH(8,Produits!$L$5:$L$19,0)),"")</f>
        <v/>
      </c>
      <c r="B16" s="9">
        <f>IF($A16="","",INDEX(Produits!$B:$B,MATCH($A16,Produits!$A:$A,0)))</f>
        <v/>
      </c>
      <c r="C16" s="9">
        <f>IF($A16="","",INDEX(Produits!$H:$H,MATCH($A16,Produits!$A:$A,0)))</f>
        <v/>
      </c>
      <c r="D16" s="9">
        <f>IF($A16="","",INDEX(Produits!$J:$J,MATCH($A16,Produits!$A:$A,0)))</f>
        <v/>
      </c>
      <c r="E16" s="9" t="n"/>
      <c r="F16" s="10">
        <f>IFERROR(INDEX(Ventes!$A$5:$A$104,MATCH(COUNT(Ventes!$H$5:$H$104)-ROWS($F$9:F16)+1,Ventes!$H$5:$H$104,0)),"")</f>
        <v/>
      </c>
      <c r="G16" s="9">
        <f>IF($F16="","",INDEX(Ventes!$C$5:$C$104,MATCH(COUNT(Ventes!$H$5:$H$104)-ROWS($F$9:F16)+1,Ventes!$H$5:$H$104,0)))</f>
        <v/>
      </c>
      <c r="H16" s="9">
        <f>IF($F16="","",INDEX(Ventes!$E$5:$E$104,MATCH(COUNT(Ventes!$H$5:$H$104)-ROWS($F$9:F16)+1,Ventes!$H$5:$H$104,0)))</f>
        <v/>
      </c>
      <c r="I16" s="9">
        <f>IF($F16="","",INDEX(Ventes!$D$5:$D$104,MATCH(COUNT(Ventes!$H$5:$H$104)-ROWS($F$9:F16)+1,Ventes!$H$5:$H$104,0)))</f>
        <v/>
      </c>
      <c r="J16" s="11">
        <f>IF($F16="","",INDEX(Ventes!$F$5:$F$104,MATCH(COUNT(Ventes!$H$5:$H$104)-ROWS($F$9:F16)+1,Ventes!$H$5:$H$104,0)))</f>
        <v/>
      </c>
      <c r="K16" s="9" t="n"/>
      <c r="L16" s="10">
        <f>IFERROR(INDEX(Achats!$A$5:$A$104,MATCH(COUNT(Achats!$F$5:$F$104)-ROWS($L$9:L16)+1,Achats!$F$5:$F$104,0)),"")</f>
        <v/>
      </c>
      <c r="M16" s="9">
        <f>IF($L16="","",INDEX(Achats!$C$5:$C$104,MATCH(COUNT(Achats!$F$5:$F$104)-ROWS($L$9:L16)+1,Achats!$F$5:$F$104,0)))</f>
        <v/>
      </c>
      <c r="N16" s="9">
        <f>IF($L16="","",INDEX(Achats!$D$5:$D$104,MATCH(COUNT(Achats!$F$5:$F$104)-ROWS($L$9:L16)+1,Achats!$F$5:$F$104,0)))</f>
        <v/>
      </c>
    </row>
    <row r="17">
      <c r="A17" s="9">
        <f>IFERROR(INDEX(Produits!$A$5:$A$19,MATCH(9,Produits!$L$5:$L$19,0)),"")</f>
        <v/>
      </c>
      <c r="B17" s="9">
        <f>IF($A17="","",INDEX(Produits!$B:$B,MATCH($A17,Produits!$A:$A,0)))</f>
        <v/>
      </c>
      <c r="C17" s="9">
        <f>IF($A17="","",INDEX(Produits!$H:$H,MATCH($A17,Produits!$A:$A,0)))</f>
        <v/>
      </c>
      <c r="D17" s="9">
        <f>IF($A17="","",INDEX(Produits!$J:$J,MATCH($A17,Produits!$A:$A,0)))</f>
        <v/>
      </c>
      <c r="E17" s="9" t="n"/>
      <c r="F17" s="10">
        <f>IFERROR(INDEX(Ventes!$A$5:$A$104,MATCH(COUNT(Ventes!$H$5:$H$104)-ROWS($F$9:F17)+1,Ventes!$H$5:$H$104,0)),"")</f>
        <v/>
      </c>
      <c r="G17" s="9">
        <f>IF($F17="","",INDEX(Ventes!$C$5:$C$104,MATCH(COUNT(Ventes!$H$5:$H$104)-ROWS($F$9:F17)+1,Ventes!$H$5:$H$104,0)))</f>
        <v/>
      </c>
      <c r="H17" s="9">
        <f>IF($F17="","",INDEX(Ventes!$E$5:$E$104,MATCH(COUNT(Ventes!$H$5:$H$104)-ROWS($F$9:F17)+1,Ventes!$H$5:$H$104,0)))</f>
        <v/>
      </c>
      <c r="I17" s="9">
        <f>IF($F17="","",INDEX(Ventes!$D$5:$D$104,MATCH(COUNT(Ventes!$H$5:$H$104)-ROWS($F$9:F17)+1,Ventes!$H$5:$H$104,0)))</f>
        <v/>
      </c>
      <c r="J17" s="11">
        <f>IF($F17="","",INDEX(Ventes!$F$5:$F$104,MATCH(COUNT(Ventes!$H$5:$H$104)-ROWS($F$9:F17)+1,Ventes!$H$5:$H$104,0)))</f>
        <v/>
      </c>
      <c r="K17" s="9" t="n"/>
      <c r="L17" s="10">
        <f>IFERROR(INDEX(Achats!$A$5:$A$104,MATCH(COUNT(Achats!$F$5:$F$104)-ROWS($L$9:L17)+1,Achats!$F$5:$F$104,0)),"")</f>
        <v/>
      </c>
      <c r="M17" s="9">
        <f>IF($L17="","",INDEX(Achats!$C$5:$C$104,MATCH(COUNT(Achats!$F$5:$F$104)-ROWS($L$9:L17)+1,Achats!$F$5:$F$104,0)))</f>
        <v/>
      </c>
      <c r="N17" s="9">
        <f>IF($L17="","",INDEX(Achats!$D$5:$D$104,MATCH(COUNT(Achats!$F$5:$F$104)-ROWS($L$9:L17)+1,Achats!$F$5:$F$104,0)))</f>
        <v/>
      </c>
    </row>
    <row r="18">
      <c r="A18" s="9">
        <f>IFERROR(INDEX(Produits!$A$5:$A$19,MATCH(10,Produits!$L$5:$L$19,0)),"")</f>
        <v/>
      </c>
      <c r="B18" s="9">
        <f>IF($A18="","",INDEX(Produits!$B:$B,MATCH($A18,Produits!$A:$A,0)))</f>
        <v/>
      </c>
      <c r="C18" s="9">
        <f>IF($A18="","",INDEX(Produits!$H:$H,MATCH($A18,Produits!$A:$A,0)))</f>
        <v/>
      </c>
      <c r="D18" s="9">
        <f>IF($A18="","",INDEX(Produits!$J:$J,MATCH($A18,Produits!$A:$A,0)))</f>
        <v/>
      </c>
      <c r="E18" s="9" t="n"/>
      <c r="F18" s="10">
        <f>IFERROR(INDEX(Ventes!$A$5:$A$104,MATCH(COUNT(Ventes!$H$5:$H$104)-ROWS($F$9:F18)+1,Ventes!$H$5:$H$104,0)),"")</f>
        <v/>
      </c>
      <c r="G18" s="9">
        <f>IF($F18="","",INDEX(Ventes!$C$5:$C$104,MATCH(COUNT(Ventes!$H$5:$H$104)-ROWS($F$9:F18)+1,Ventes!$H$5:$H$104,0)))</f>
        <v/>
      </c>
      <c r="H18" s="9">
        <f>IF($F18="","",INDEX(Ventes!$E$5:$E$104,MATCH(COUNT(Ventes!$H$5:$H$104)-ROWS($F$9:F18)+1,Ventes!$H$5:$H$104,0)))</f>
        <v/>
      </c>
      <c r="I18" s="9">
        <f>IF($F18="","",INDEX(Ventes!$D$5:$D$104,MATCH(COUNT(Ventes!$H$5:$H$104)-ROWS($F$9:F18)+1,Ventes!$H$5:$H$104,0)))</f>
        <v/>
      </c>
      <c r="J18" s="11">
        <f>IF($F18="","",INDEX(Ventes!$F$5:$F$104,MATCH(COUNT(Ventes!$H$5:$H$104)-ROWS($F$9:F18)+1,Ventes!$H$5:$H$104,0)))</f>
        <v/>
      </c>
      <c r="K18" s="9" t="n"/>
      <c r="L18" s="10">
        <f>IFERROR(INDEX(Achats!$A$5:$A$104,MATCH(COUNT(Achats!$F$5:$F$104)-ROWS($L$9:L18)+1,Achats!$F$5:$F$104,0)),"")</f>
        <v/>
      </c>
      <c r="M18" s="9">
        <f>IF($L18="","",INDEX(Achats!$C$5:$C$104,MATCH(COUNT(Achats!$F$5:$F$104)-ROWS($L$9:L18)+1,Achats!$F$5:$F$104,0)))</f>
        <v/>
      </c>
      <c r="N18" s="9">
        <f>IF($L18="","",INDEX(Achats!$D$5:$D$104,MATCH(COUNT(Achats!$F$5:$F$104)-ROWS($L$9:L18)+1,Achats!$F$5:$F$104,0)))</f>
        <v/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mergeCells count="4">
    <mergeCell ref="F7:J7"/>
    <mergeCell ref="A1:O1"/>
    <mergeCell ref="A7:D7"/>
    <mergeCell ref="L7:N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45" customWidth="1" min="4" max="4"/>
  </cols>
  <sheetData>
    <row r="1">
      <c r="A1" s="1" t="inlineStr">
        <is>
          <t>LISTES DE RÉFÉRENCE</t>
        </is>
      </c>
    </row>
    <row r="2">
      <c r="A2" s="2" t="inlineStr">
        <is>
          <t>Feuille libre : ajoutez, modifiez ou supprimez les valeurs.</t>
        </is>
      </c>
    </row>
    <row r="3">
      <c r="A3" s="8" t="inlineStr">
        <is>
          <t>SKU</t>
        </is>
      </c>
      <c r="B3" s="8" t="inlineStr">
        <is>
          <t>Fournisseurs</t>
        </is>
      </c>
      <c r="C3" s="8" t="inlineStr">
        <is>
          <t>Clients</t>
        </is>
      </c>
      <c r="D3" s="8" t="inlineStr">
        <is>
          <t>Produits</t>
        </is>
      </c>
    </row>
    <row r="4">
      <c r="A4" t="inlineStr">
        <is>
          <t>PC-DELL-LAT5420</t>
        </is>
      </c>
      <c r="B4" t="inlineStr">
        <is>
          <t>TechSource Cameroun</t>
        </is>
      </c>
      <c r="C4" t="inlineStr">
        <is>
          <t>Entreprise Mboa SARL</t>
        </is>
      </c>
      <c r="D4" t="inlineStr">
        <is>
          <t>Dell — Latitude 5420 i5/16Go/512Go</t>
        </is>
      </c>
    </row>
    <row r="5">
      <c r="A5" t="inlineStr">
        <is>
          <t>PC-DELL-LAT7430</t>
        </is>
      </c>
      <c r="B5" t="inlineStr">
        <is>
          <t>Digital Pro Yaoundé</t>
        </is>
      </c>
      <c r="C5" t="inlineStr">
        <is>
          <t>Cabinet Horizon</t>
        </is>
      </c>
      <c r="D5" t="inlineStr">
        <is>
          <t>Dell — Latitude 7430 i7/16Go/512Go</t>
        </is>
      </c>
    </row>
    <row r="6">
      <c r="A6" t="inlineStr">
        <is>
          <t>PC-HP-EL840G8</t>
        </is>
      </c>
      <c r="B6" t="inlineStr">
        <is>
          <t>Global IT Supply</t>
        </is>
      </c>
      <c r="C6" t="inlineStr">
        <is>
          <t>Client comptoir</t>
        </is>
      </c>
      <c r="D6" t="inlineStr">
        <is>
          <t>HP — EliteBook 840 G8 i5/16Go/512Go</t>
        </is>
      </c>
    </row>
    <row r="7">
      <c r="A7" t="inlineStr">
        <is>
          <t>PC-HP-PR450G9</t>
        </is>
      </c>
      <c r="C7" t="inlineStr">
        <is>
          <t>École Les Élites</t>
        </is>
      </c>
      <c r="D7" t="inlineStr">
        <is>
          <t>HP — ProBook 450 G9 i5/8Go/512Go</t>
        </is>
      </c>
    </row>
    <row r="8">
      <c r="A8" t="inlineStr">
        <is>
          <t>PC-LEN-T14G2</t>
        </is>
      </c>
      <c r="D8" t="inlineStr">
        <is>
          <t>Lenovo — ThinkPad T14 G2 i5/16Go/512Go</t>
        </is>
      </c>
    </row>
    <row r="9">
      <c r="A9" t="inlineStr">
        <is>
          <t>PC-APPLE-MBA13</t>
        </is>
      </c>
      <c r="D9" t="inlineStr">
        <is>
          <t>Apple — MacBook Air M1 8Go/256Go</t>
        </is>
      </c>
    </row>
    <row r="10">
      <c r="A10" t="inlineStr">
        <is>
          <t>TOUR-DELL-OP7090</t>
        </is>
      </c>
      <c r="D10" t="inlineStr">
        <is>
          <t>Dell — OptiPlex 7090 i5/16Go/512Go</t>
        </is>
      </c>
    </row>
    <row r="11">
      <c r="A11" t="inlineStr">
        <is>
          <t>TOUR-HP-PR400G7</t>
        </is>
      </c>
      <c r="D11" t="inlineStr">
        <is>
          <t>HP — ProDesk 400 G7 i5/8Go/256Go</t>
        </is>
      </c>
    </row>
    <row r="12">
      <c r="A12" t="inlineStr">
        <is>
          <t>ECR-DELL-P2422H</t>
        </is>
      </c>
      <c r="D12" t="inlineStr">
        <is>
          <t>Dell — P2422H 24 pouces Full HD</t>
        </is>
      </c>
    </row>
    <row r="13">
      <c r="A13" t="inlineStr">
        <is>
          <t>ECR-HP-E24G4</t>
        </is>
      </c>
      <c r="D13" t="inlineStr">
        <is>
          <t>HP — E24 G4 24 pouces Full HD</t>
        </is>
      </c>
    </row>
    <row r="14">
      <c r="A14" t="inlineStr">
        <is>
          <t>ECR-SAMS-S24R</t>
        </is>
      </c>
      <c r="D14" t="inlineStr">
        <is>
          <t>Samsung — S24R350 24 pouces Full HD</t>
        </is>
      </c>
    </row>
    <row r="15">
      <c r="A15" t="inlineStr">
        <is>
          <t>COMP-SSD-512</t>
        </is>
      </c>
      <c r="D15" t="inlineStr">
        <is>
          <t>Kingston — SSD NV2 512 Go</t>
        </is>
      </c>
    </row>
    <row r="16">
      <c r="A16" t="inlineStr">
        <is>
          <t>COMP-RAM-16</t>
        </is>
      </c>
      <c r="D16" t="inlineStr">
        <is>
          <t>Crucial — RAM DDR4 16 Go</t>
        </is>
      </c>
    </row>
    <row r="17">
      <c r="A17" t="inlineStr">
        <is>
          <t>COMP-BAT-5420</t>
        </is>
      </c>
      <c r="D17" t="inlineStr">
        <is>
          <t>Dell — Batterie Latitude 5420</t>
        </is>
      </c>
    </row>
    <row r="18">
      <c r="A18" t="inlineStr">
        <is>
          <t>ACC-DELL-65W</t>
        </is>
      </c>
      <c r="D18" t="inlineStr">
        <is>
          <t>Dell — Chargeur USB-C 65 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5" customWidth="1" min="9" max="9"/>
    <col width="8" customWidth="1" min="10" max="10"/>
    <col width="14" customWidth="1" min="11" max="11"/>
    <col width="10" customWidth="1" min="12" max="12"/>
  </cols>
  <sheetData>
    <row r="1">
      <c r="A1" s="12" t="inlineStr">
        <is>
          <t>PRODUITS</t>
        </is>
      </c>
      <c r="B1" s="13" t="n"/>
      <c r="C1" s="13" t="n"/>
      <c r="D1" s="13" t="n"/>
      <c r="E1" s="13" t="n"/>
      <c r="J1" s="13" t="n"/>
      <c r="K1" s="13" t="n"/>
    </row>
    <row r="2">
      <c r="A2" s="14" t="inlineStr">
        <is>
          <t>Saisie libre : SKU, Produit, Prix, Stock, Seuil, Catégorie.</t>
        </is>
      </c>
      <c r="B2" s="13" t="n"/>
      <c r="C2" s="13" t="n"/>
      <c r="D2" s="13" t="n"/>
      <c r="E2" s="13" t="n"/>
      <c r="J2" s="13" t="n"/>
      <c r="K2" s="13" t="n"/>
    </row>
    <row r="3">
      <c r="A3" s="13" t="n"/>
      <c r="B3" s="13" t="n"/>
      <c r="C3" s="13" t="n"/>
      <c r="D3" s="13" t="n"/>
      <c r="E3" s="13" t="n"/>
      <c r="J3" s="13" t="n"/>
      <c r="K3" s="13" t="n"/>
    </row>
    <row r="4">
      <c r="A4" s="15" t="inlineStr">
        <is>
          <t>SKU</t>
        </is>
      </c>
      <c r="B4" s="15" t="inlineStr">
        <is>
          <t>Produit</t>
        </is>
      </c>
      <c r="C4" s="15" t="inlineStr">
        <is>
          <t>Prix achat</t>
        </is>
      </c>
      <c r="D4" s="15" t="inlineStr">
        <is>
          <t>Prix vente</t>
        </is>
      </c>
      <c r="E4" s="15" t="inlineStr">
        <is>
          <t>Stock initial</t>
        </is>
      </c>
      <c r="F4" s="8" t="inlineStr">
        <is>
          <t>Entrées</t>
        </is>
      </c>
      <c r="G4" s="8" t="inlineStr">
        <is>
          <t>Ventes</t>
        </is>
      </c>
      <c r="H4" s="8" t="inlineStr">
        <is>
          <t>Stock actuel</t>
        </is>
      </c>
      <c r="I4" s="8" t="inlineStr">
        <is>
          <t>Alerte</t>
        </is>
      </c>
      <c r="J4" s="15" t="inlineStr">
        <is>
          <t>Seuil</t>
        </is>
      </c>
      <c r="K4" s="15" t="inlineStr">
        <is>
          <t>Catégorie</t>
        </is>
      </c>
      <c r="L4" s="8" t="inlineStr">
        <is>
          <t>Rang alerte</t>
        </is>
      </c>
    </row>
    <row r="5">
      <c r="A5" s="16" t="inlineStr">
        <is>
          <t>PC-DELL-LAT5420</t>
        </is>
      </c>
      <c r="B5" s="16" t="inlineStr">
        <is>
          <t>Dell — Latitude 5420 i5/16Go/512Go</t>
        </is>
      </c>
      <c r="C5" s="17" t="n">
        <v>365000</v>
      </c>
      <c r="D5" s="17" t="n">
        <v>485000</v>
      </c>
      <c r="E5" s="16" t="n">
        <v>4</v>
      </c>
      <c r="F5" s="9">
        <f>SUMIF(Achats!$C$5:$C$104,$A5,Achats!$D$5:$D$104)</f>
        <v/>
      </c>
      <c r="G5" s="9">
        <f>SUMIF(Ventes!$C$5:$C$104,$A5,Ventes!$D$5:$D$104)</f>
        <v/>
      </c>
      <c r="H5" s="9">
        <f>E5+F5-G5</f>
        <v/>
      </c>
      <c r="I5" s="18">
        <f>IF(H5&lt;=J5,"A COMMANDER","OK")</f>
        <v/>
      </c>
      <c r="J5" s="19" t="n">
        <v>2</v>
      </c>
      <c r="K5" s="16" t="inlineStr">
        <is>
          <t>PC portable</t>
        </is>
      </c>
      <c r="L5" s="20">
        <f>IF(I5="A COMMANDER",COUNTIF($I$5:I5,"A COMMANDER"),"")</f>
        <v/>
      </c>
    </row>
    <row r="6">
      <c r="A6" s="16" t="inlineStr">
        <is>
          <t>PC-DELL-LAT7430</t>
        </is>
      </c>
      <c r="B6" s="16" t="inlineStr">
        <is>
          <t>Dell — Latitude 7430 i7/16Go/512Go</t>
        </is>
      </c>
      <c r="C6" s="17" t="n">
        <v>520000</v>
      </c>
      <c r="D6" s="17" t="n">
        <v>675000</v>
      </c>
      <c r="E6" s="16" t="n">
        <v>2</v>
      </c>
      <c r="F6" s="9">
        <f>SUMIF(Achats!$C$5:$C$104,$A6,Achats!$D$5:$D$104)</f>
        <v/>
      </c>
      <c r="G6" s="9">
        <f>SUMIF(Ventes!$C$5:$C$104,$A6,Ventes!$D$5:$D$104)</f>
        <v/>
      </c>
      <c r="H6" s="9">
        <f>E6+F6-G6</f>
        <v/>
      </c>
      <c r="I6" s="18">
        <f>IF(H6&lt;=J6,"A COMMANDER","OK")</f>
        <v/>
      </c>
      <c r="J6" s="19" t="n">
        <v>2</v>
      </c>
      <c r="K6" s="16" t="inlineStr">
        <is>
          <t>PC portable</t>
        </is>
      </c>
      <c r="L6" s="20">
        <f>IF(I6="A COMMANDER",COUNTIF($I$5:I6,"A COMMANDER"),"")</f>
        <v/>
      </c>
    </row>
    <row r="7">
      <c r="A7" s="16" t="inlineStr">
        <is>
          <t>PC-HP-EL840G8</t>
        </is>
      </c>
      <c r="B7" s="16" t="inlineStr">
        <is>
          <t>HP — EliteBook 840 G8 i5/16Go/512Go</t>
        </is>
      </c>
      <c r="C7" s="17" t="n">
        <v>400000</v>
      </c>
      <c r="D7" s="17" t="n">
        <v>535000</v>
      </c>
      <c r="E7" s="16" t="n">
        <v>3</v>
      </c>
      <c r="F7" s="9">
        <f>SUMIF(Achats!$C$5:$C$104,$A7,Achats!$D$5:$D$104)</f>
        <v/>
      </c>
      <c r="G7" s="9">
        <f>SUMIF(Ventes!$C$5:$C$104,$A7,Ventes!$D$5:$D$104)</f>
        <v/>
      </c>
      <c r="H7" s="9">
        <f>E7+F7-G7</f>
        <v/>
      </c>
      <c r="I7" s="18">
        <f>IF(H7&lt;=J7,"A COMMANDER","OK")</f>
        <v/>
      </c>
      <c r="J7" s="19" t="n">
        <v>2</v>
      </c>
      <c r="K7" s="16" t="inlineStr">
        <is>
          <t>PC portable</t>
        </is>
      </c>
      <c r="L7" s="20">
        <f>IF(I7="A COMMANDER",COUNTIF($I$5:I7,"A COMMANDER"),"")</f>
        <v/>
      </c>
    </row>
    <row r="8">
      <c r="A8" s="16" t="inlineStr">
        <is>
          <t>PC-HP-PR450G9</t>
        </is>
      </c>
      <c r="B8" s="16" t="inlineStr">
        <is>
          <t>HP — ProBook 450 G9 i5/8Go/512Go</t>
        </is>
      </c>
      <c r="C8" s="17" t="n">
        <v>350000</v>
      </c>
      <c r="D8" s="17" t="n">
        <v>465000</v>
      </c>
      <c r="E8" s="16" t="n">
        <v>3</v>
      </c>
      <c r="F8" s="9">
        <f>SUMIF(Achats!$C$5:$C$104,$A8,Achats!$D$5:$D$104)</f>
        <v/>
      </c>
      <c r="G8" s="9">
        <f>SUMIF(Ventes!$C$5:$C$104,$A8,Ventes!$D$5:$D$104)</f>
        <v/>
      </c>
      <c r="H8" s="9">
        <f>E8+F8-G8</f>
        <v/>
      </c>
      <c r="I8" s="18">
        <f>IF(H8&lt;=J8,"A COMMANDER","OK")</f>
        <v/>
      </c>
      <c r="J8" s="19" t="n">
        <v>2</v>
      </c>
      <c r="K8" s="16" t="inlineStr">
        <is>
          <t>PC portable</t>
        </is>
      </c>
      <c r="L8" s="20">
        <f>IF(I8="A COMMANDER",COUNTIF($I$5:I8,"A COMMANDER"),"")</f>
        <v/>
      </c>
    </row>
    <row r="9">
      <c r="A9" s="16" t="inlineStr">
        <is>
          <t>PC-LEN-T14G2</t>
        </is>
      </c>
      <c r="B9" s="16" t="inlineStr">
        <is>
          <t>Lenovo — ThinkPad T14 G2 i5/16Go/512Go</t>
        </is>
      </c>
      <c r="C9" s="17" t="n">
        <v>390000</v>
      </c>
      <c r="D9" s="17" t="n">
        <v>520000</v>
      </c>
      <c r="E9" s="16" t="n">
        <v>2</v>
      </c>
      <c r="F9" s="9">
        <f>SUMIF(Achats!$C$5:$C$104,$A9,Achats!$D$5:$D$104)</f>
        <v/>
      </c>
      <c r="G9" s="9">
        <f>SUMIF(Ventes!$C$5:$C$104,$A9,Ventes!$D$5:$D$104)</f>
        <v/>
      </c>
      <c r="H9" s="9">
        <f>E9+F9-G9</f>
        <v/>
      </c>
      <c r="I9" s="18">
        <f>IF(H9&lt;=J9,"A COMMANDER","OK")</f>
        <v/>
      </c>
      <c r="J9" s="19" t="n">
        <v>2</v>
      </c>
      <c r="K9" s="16" t="inlineStr">
        <is>
          <t>PC portable</t>
        </is>
      </c>
      <c r="L9" s="20">
        <f>IF(I9="A COMMANDER",COUNTIF($I$5:I9,"A COMMANDER"),"")</f>
        <v/>
      </c>
    </row>
    <row r="10">
      <c r="A10" s="16" t="inlineStr">
        <is>
          <t>PC-APPLE-MBA13</t>
        </is>
      </c>
      <c r="B10" s="16" t="inlineStr">
        <is>
          <t>Apple — MacBook Air M1 8Go/256Go</t>
        </is>
      </c>
      <c r="C10" s="17" t="n">
        <v>510000</v>
      </c>
      <c r="D10" s="17" t="n">
        <v>650000</v>
      </c>
      <c r="E10" s="16" t="n">
        <v>1</v>
      </c>
      <c r="F10" s="9">
        <f>SUMIF(Achats!$C$5:$C$104,$A10,Achats!$D$5:$D$104)</f>
        <v/>
      </c>
      <c r="G10" s="9">
        <f>SUMIF(Ventes!$C$5:$C$104,$A10,Ventes!$D$5:$D$104)</f>
        <v/>
      </c>
      <c r="H10" s="9">
        <f>E10+F10-G10</f>
        <v/>
      </c>
      <c r="I10" s="18">
        <f>IF(H10&lt;=J10,"A COMMANDER","OK")</f>
        <v/>
      </c>
      <c r="J10" s="19" t="n">
        <v>2</v>
      </c>
      <c r="K10" s="16" t="inlineStr">
        <is>
          <t>PC portable</t>
        </is>
      </c>
      <c r="L10" s="20">
        <f>IF(I10="A COMMANDER",COUNTIF($I$5:I10,"A COMMANDER"),"")</f>
        <v/>
      </c>
    </row>
    <row r="11">
      <c r="A11" s="16" t="inlineStr">
        <is>
          <t>TOUR-DELL-OP7090</t>
        </is>
      </c>
      <c r="B11" s="16" t="inlineStr">
        <is>
          <t>Dell — OptiPlex 7090 i5/16Go/512Go</t>
        </is>
      </c>
      <c r="C11" s="17" t="n">
        <v>340000</v>
      </c>
      <c r="D11" s="17" t="n">
        <v>455000</v>
      </c>
      <c r="E11" s="16" t="n">
        <v>3</v>
      </c>
      <c r="F11" s="9">
        <f>SUMIF(Achats!$C$5:$C$104,$A11,Achats!$D$5:$D$104)</f>
        <v/>
      </c>
      <c r="G11" s="9">
        <f>SUMIF(Ventes!$C$5:$C$104,$A11,Ventes!$D$5:$D$104)</f>
        <v/>
      </c>
      <c r="H11" s="9">
        <f>E11+F11-G11</f>
        <v/>
      </c>
      <c r="I11" s="18">
        <f>IF(H11&lt;=J11,"A COMMANDER","OK")</f>
        <v/>
      </c>
      <c r="J11" s="19" t="n">
        <v>2</v>
      </c>
      <c r="K11" s="16" t="inlineStr">
        <is>
          <t>PC fixe</t>
        </is>
      </c>
      <c r="L11" s="20">
        <f>IF(I11="A COMMANDER",COUNTIF($I$5:I11,"A COMMANDER"),"")</f>
        <v/>
      </c>
    </row>
    <row r="12">
      <c r="A12" s="16" t="inlineStr">
        <is>
          <t>TOUR-HP-PR400G7</t>
        </is>
      </c>
      <c r="B12" s="16" t="inlineStr">
        <is>
          <t>HP — ProDesk 400 G7 i5/8Go/256Go</t>
        </is>
      </c>
      <c r="C12" s="17" t="n">
        <v>250000</v>
      </c>
      <c r="D12" s="17" t="n">
        <v>345000</v>
      </c>
      <c r="E12" s="16" t="n">
        <v>2</v>
      </c>
      <c r="F12" s="9">
        <f>SUMIF(Achats!$C$5:$C$104,$A12,Achats!$D$5:$D$104)</f>
        <v/>
      </c>
      <c r="G12" s="9">
        <f>SUMIF(Ventes!$C$5:$C$104,$A12,Ventes!$D$5:$D$104)</f>
        <v/>
      </c>
      <c r="H12" s="9">
        <f>E12+F12-G12</f>
        <v/>
      </c>
      <c r="I12" s="18">
        <f>IF(H12&lt;=J12,"A COMMANDER","OK")</f>
        <v/>
      </c>
      <c r="J12" s="19" t="n">
        <v>2</v>
      </c>
      <c r="K12" s="16" t="inlineStr">
        <is>
          <t>PC fixe</t>
        </is>
      </c>
      <c r="L12" s="20">
        <f>IF(I12="A COMMANDER",COUNTIF($I$5:I12,"A COMMANDER"),"")</f>
        <v/>
      </c>
    </row>
    <row r="13">
      <c r="A13" s="16" t="inlineStr">
        <is>
          <t>ECR-DELL-P2422H</t>
        </is>
      </c>
      <c r="B13" s="16" t="inlineStr">
        <is>
          <t>Dell — P2422H 24 pouces Full HD</t>
        </is>
      </c>
      <c r="C13" s="17" t="n">
        <v>105000</v>
      </c>
      <c r="D13" s="17" t="n">
        <v>145000</v>
      </c>
      <c r="E13" s="16" t="n">
        <v>4</v>
      </c>
      <c r="F13" s="9">
        <f>SUMIF(Achats!$C$5:$C$104,$A13,Achats!$D$5:$D$104)</f>
        <v/>
      </c>
      <c r="G13" s="9">
        <f>SUMIF(Ventes!$C$5:$C$104,$A13,Ventes!$D$5:$D$104)</f>
        <v/>
      </c>
      <c r="H13" s="9">
        <f>E13+F13-G13</f>
        <v/>
      </c>
      <c r="I13" s="18">
        <f>IF(H13&lt;=J13,"A COMMANDER","OK")</f>
        <v/>
      </c>
      <c r="J13" s="19" t="n">
        <v>2</v>
      </c>
      <c r="K13" s="16" t="inlineStr">
        <is>
          <t>Écran</t>
        </is>
      </c>
      <c r="L13" s="20">
        <f>IF(I13="A COMMANDER",COUNTIF($I$5:I13,"A COMMANDER"),"")</f>
        <v/>
      </c>
    </row>
    <row r="14">
      <c r="A14" s="16" t="inlineStr">
        <is>
          <t>ECR-HP-E24G4</t>
        </is>
      </c>
      <c r="B14" s="16" t="inlineStr">
        <is>
          <t>HP — E24 G4 24 pouces Full HD</t>
        </is>
      </c>
      <c r="C14" s="17" t="n">
        <v>95000</v>
      </c>
      <c r="D14" s="17" t="n">
        <v>130000</v>
      </c>
      <c r="E14" s="16" t="n">
        <v>2</v>
      </c>
      <c r="F14" s="9">
        <f>SUMIF(Achats!$C$5:$C$104,$A14,Achats!$D$5:$D$104)</f>
        <v/>
      </c>
      <c r="G14" s="9">
        <f>SUMIF(Ventes!$C$5:$C$104,$A14,Ventes!$D$5:$D$104)</f>
        <v/>
      </c>
      <c r="H14" s="9">
        <f>E14+F14-G14</f>
        <v/>
      </c>
      <c r="I14" s="18">
        <f>IF(H14&lt;=J14,"A COMMANDER","OK")</f>
        <v/>
      </c>
      <c r="J14" s="19" t="n">
        <v>2</v>
      </c>
      <c r="K14" s="16" t="inlineStr">
        <is>
          <t>Écran</t>
        </is>
      </c>
      <c r="L14" s="20">
        <f>IF(I14="A COMMANDER",COUNTIF($I$5:I14,"A COMMANDER"),"")</f>
        <v/>
      </c>
    </row>
    <row r="15">
      <c r="A15" s="16" t="inlineStr">
        <is>
          <t>ECR-SAMS-S24R</t>
        </is>
      </c>
      <c r="B15" s="16" t="inlineStr">
        <is>
          <t>Samsung — S24R350 24 pouces Full HD</t>
        </is>
      </c>
      <c r="C15" s="17" t="n">
        <v>85000</v>
      </c>
      <c r="D15" s="17" t="n">
        <v>120000</v>
      </c>
      <c r="E15" s="16" t="n">
        <v>3</v>
      </c>
      <c r="F15" s="9">
        <f>SUMIF(Achats!$C$5:$C$104,$A15,Achats!$D$5:$D$104)</f>
        <v/>
      </c>
      <c r="G15" s="9">
        <f>SUMIF(Ventes!$C$5:$C$104,$A15,Ventes!$D$5:$D$104)</f>
        <v/>
      </c>
      <c r="H15" s="9">
        <f>E15+F15-G15</f>
        <v/>
      </c>
      <c r="I15" s="18">
        <f>IF(H15&lt;=J15,"A COMMANDER","OK")</f>
        <v/>
      </c>
      <c r="J15" s="19" t="n">
        <v>2</v>
      </c>
      <c r="K15" s="16" t="inlineStr">
        <is>
          <t>Écran</t>
        </is>
      </c>
      <c r="L15" s="20">
        <f>IF(I15="A COMMANDER",COUNTIF($I$5:I15,"A COMMANDER"),"")</f>
        <v/>
      </c>
    </row>
    <row r="16">
      <c r="A16" s="16" t="inlineStr">
        <is>
          <t>COMP-SSD-512</t>
        </is>
      </c>
      <c r="B16" s="16" t="inlineStr">
        <is>
          <t>Kingston — SSD NV2 512 Go</t>
        </is>
      </c>
      <c r="C16" s="17" t="n">
        <v>28000</v>
      </c>
      <c r="D16" s="17" t="n">
        <v>42000</v>
      </c>
      <c r="E16" s="16" t="n">
        <v>8</v>
      </c>
      <c r="F16" s="9">
        <f>SUMIF(Achats!$C$5:$C$104,$A16,Achats!$D$5:$D$104)</f>
        <v/>
      </c>
      <c r="G16" s="9">
        <f>SUMIF(Ventes!$C$5:$C$104,$A16,Ventes!$D$5:$D$104)</f>
        <v/>
      </c>
      <c r="H16" s="9">
        <f>E16+F16-G16</f>
        <v/>
      </c>
      <c r="I16" s="18">
        <f>IF(H16&lt;=J16,"A COMMANDER","OK")</f>
        <v/>
      </c>
      <c r="J16" s="19" t="n">
        <v>3</v>
      </c>
      <c r="K16" s="16" t="inlineStr">
        <is>
          <t>Composant</t>
        </is>
      </c>
      <c r="L16" s="20">
        <f>IF(I16="A COMMANDER",COUNTIF($I$5:I16,"A COMMANDER"),"")</f>
        <v/>
      </c>
    </row>
    <row r="17">
      <c r="A17" s="16" t="inlineStr">
        <is>
          <t>COMP-RAM-16</t>
        </is>
      </c>
      <c r="B17" s="16" t="inlineStr">
        <is>
          <t>Crucial — RAM DDR4 16 Go</t>
        </is>
      </c>
      <c r="C17" s="17" t="n">
        <v>24000</v>
      </c>
      <c r="D17" s="17" t="n">
        <v>38000</v>
      </c>
      <c r="E17" s="16" t="n">
        <v>6</v>
      </c>
      <c r="F17" s="9">
        <f>SUMIF(Achats!$C$5:$C$104,$A17,Achats!$D$5:$D$104)</f>
        <v/>
      </c>
      <c r="G17" s="9">
        <f>SUMIF(Ventes!$C$5:$C$104,$A17,Ventes!$D$5:$D$104)</f>
        <v/>
      </c>
      <c r="H17" s="9">
        <f>E17+F17-G17</f>
        <v/>
      </c>
      <c r="I17" s="18">
        <f>IF(H17&lt;=J17,"A COMMANDER","OK")</f>
        <v/>
      </c>
      <c r="J17" s="19" t="n">
        <v>3</v>
      </c>
      <c r="K17" s="16" t="inlineStr">
        <is>
          <t>Composant</t>
        </is>
      </c>
      <c r="L17" s="20">
        <f>IF(I17="A COMMANDER",COUNTIF($I$5:I17,"A COMMANDER"),"")</f>
        <v/>
      </c>
    </row>
    <row r="18">
      <c r="A18" s="16" t="inlineStr">
        <is>
          <t>COMP-BAT-5420</t>
        </is>
      </c>
      <c r="B18" s="16" t="inlineStr">
        <is>
          <t>Dell — Batterie Latitude 5420</t>
        </is>
      </c>
      <c r="C18" s="17" t="n">
        <v>35000</v>
      </c>
      <c r="D18" s="17" t="n">
        <v>55000</v>
      </c>
      <c r="E18" s="16" t="n">
        <v>2</v>
      </c>
      <c r="F18" s="9">
        <f>SUMIF(Achats!$C$5:$C$104,$A18,Achats!$D$5:$D$104)</f>
        <v/>
      </c>
      <c r="G18" s="9">
        <f>SUMIF(Ventes!$C$5:$C$104,$A18,Ventes!$D$5:$D$104)</f>
        <v/>
      </c>
      <c r="H18" s="9">
        <f>E18+F18-G18</f>
        <v/>
      </c>
      <c r="I18" s="18">
        <f>IF(H18&lt;=J18,"A COMMANDER","OK")</f>
        <v/>
      </c>
      <c r="J18" s="19" t="n">
        <v>2</v>
      </c>
      <c r="K18" s="16" t="inlineStr">
        <is>
          <t>Composant</t>
        </is>
      </c>
      <c r="L18" s="20">
        <f>IF(I18="A COMMANDER",COUNTIF($I$5:I18,"A COMMANDER"),"")</f>
        <v/>
      </c>
    </row>
    <row r="19">
      <c r="A19" s="16" t="inlineStr">
        <is>
          <t>ACC-DELL-65W</t>
        </is>
      </c>
      <c r="B19" s="16" t="inlineStr">
        <is>
          <t>Dell — Chargeur USB-C 65 W</t>
        </is>
      </c>
      <c r="C19" s="17" t="n">
        <v>18000</v>
      </c>
      <c r="D19" s="17" t="n">
        <v>30000</v>
      </c>
      <c r="E19" s="16" t="n">
        <v>5</v>
      </c>
      <c r="F19" s="9">
        <f>SUMIF(Achats!$C$5:$C$104,$A19,Achats!$D$5:$D$104)</f>
        <v/>
      </c>
      <c r="G19" s="9">
        <f>SUMIF(Ventes!$C$5:$C$104,$A19,Ventes!$D$5:$D$104)</f>
        <v/>
      </c>
      <c r="H19" s="9">
        <f>E19+F19-G19</f>
        <v/>
      </c>
      <c r="I19" s="18">
        <f>IF(H19&lt;=J19,"A COMMANDER","OK")</f>
        <v/>
      </c>
      <c r="J19" s="19" t="n">
        <v>2</v>
      </c>
      <c r="K19" s="16" t="inlineStr">
        <is>
          <t>Accessoire</t>
        </is>
      </c>
      <c r="L19" s="20">
        <f>IF(I19="A COMMANDER",COUNTIF($I$5:I19,"A COMMANDER"),"")</f>
        <v/>
      </c>
    </row>
    <row r="20">
      <c r="A20" s="13" t="n"/>
      <c r="B20" s="13" t="n"/>
      <c r="C20" s="13" t="n"/>
      <c r="D20" s="13" t="n"/>
      <c r="E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J27" s="13" t="n"/>
      <c r="K27" s="13" t="n"/>
    </row>
    <row r="28">
      <c r="A28" s="13" t="n"/>
      <c r="B28" s="13" t="n"/>
      <c r="C28" s="13" t="n"/>
      <c r="D28" s="13" t="n"/>
      <c r="E28" s="13" t="n"/>
      <c r="J28" s="13" t="n"/>
      <c r="K28" s="13" t="n"/>
    </row>
    <row r="29">
      <c r="A29" s="13" t="n"/>
      <c r="B29" s="13" t="n"/>
      <c r="C29" s="13" t="n"/>
      <c r="D29" s="13" t="n"/>
      <c r="E29" s="13" t="n"/>
      <c r="J29" s="13" t="n"/>
      <c r="K29" s="13" t="n"/>
    </row>
    <row r="30">
      <c r="A30" s="13" t="n"/>
      <c r="B30" s="13" t="n"/>
      <c r="C30" s="13" t="n"/>
      <c r="D30" s="13" t="n"/>
      <c r="E30" s="13" t="n"/>
      <c r="J30" s="13" t="n"/>
      <c r="K30" s="13" t="n"/>
    </row>
    <row r="31">
      <c r="A31" s="13" t="n"/>
      <c r="B31" s="13" t="n"/>
      <c r="C31" s="13" t="n"/>
      <c r="D31" s="13" t="n"/>
      <c r="E31" s="13" t="n"/>
      <c r="J31" s="13" t="n"/>
      <c r="K31" s="13" t="n"/>
    </row>
    <row r="32">
      <c r="A32" s="13" t="n"/>
      <c r="B32" s="13" t="n"/>
      <c r="C32" s="13" t="n"/>
      <c r="D32" s="13" t="n"/>
      <c r="E32" s="13" t="n"/>
      <c r="J32" s="13" t="n"/>
      <c r="K32" s="13" t="n"/>
    </row>
    <row r="33">
      <c r="A33" s="13" t="n"/>
      <c r="B33" s="13" t="n"/>
      <c r="C33" s="13" t="n"/>
      <c r="D33" s="13" t="n"/>
      <c r="E33" s="13" t="n"/>
      <c r="J33" s="13" t="n"/>
      <c r="K33" s="13" t="n"/>
    </row>
    <row r="34">
      <c r="A34" s="13" t="n"/>
      <c r="B34" s="13" t="n"/>
      <c r="C34" s="13" t="n"/>
      <c r="D34" s="13" t="n"/>
      <c r="E34" s="13" t="n"/>
      <c r="J34" s="13" t="n"/>
      <c r="K34" s="13" t="n"/>
    </row>
    <row r="35">
      <c r="A35" s="13" t="n"/>
      <c r="B35" s="13" t="n"/>
      <c r="C35" s="13" t="n"/>
      <c r="D35" s="13" t="n"/>
      <c r="E35" s="13" t="n"/>
      <c r="J35" s="13" t="n"/>
      <c r="K35" s="13" t="n"/>
    </row>
    <row r="36">
      <c r="A36" s="13" t="n"/>
      <c r="B36" s="13" t="n"/>
      <c r="C36" s="13" t="n"/>
      <c r="D36" s="13" t="n"/>
      <c r="E36" s="13" t="n"/>
      <c r="J36" s="13" t="n"/>
      <c r="K36" s="13" t="n"/>
    </row>
    <row r="37">
      <c r="A37" s="13" t="n"/>
      <c r="B37" s="13" t="n"/>
      <c r="C37" s="13" t="n"/>
      <c r="D37" s="13" t="n"/>
      <c r="E37" s="13" t="n"/>
      <c r="J37" s="13" t="n"/>
      <c r="K37" s="13" t="n"/>
    </row>
    <row r="38">
      <c r="A38" s="13" t="n"/>
      <c r="B38" s="13" t="n"/>
      <c r="C38" s="13" t="n"/>
      <c r="D38" s="13" t="n"/>
      <c r="E38" s="13" t="n"/>
      <c r="J38" s="13" t="n"/>
      <c r="K38" s="13" t="n"/>
    </row>
    <row r="39">
      <c r="A39" s="13" t="n"/>
      <c r="B39" s="13" t="n"/>
      <c r="C39" s="13" t="n"/>
      <c r="D39" s="13" t="n"/>
      <c r="E39" s="13" t="n"/>
      <c r="J39" s="13" t="n"/>
      <c r="K39" s="13" t="n"/>
    </row>
    <row r="40">
      <c r="A40" s="13" t="n"/>
      <c r="B40" s="13" t="n"/>
      <c r="C40" s="13" t="n"/>
      <c r="D40" s="13" t="n"/>
      <c r="E40" s="13" t="n"/>
      <c r="J40" s="13" t="n"/>
      <c r="K40" s="13" t="n"/>
    </row>
    <row r="41">
      <c r="A41" s="13" t="n"/>
      <c r="B41" s="13" t="n"/>
      <c r="C41" s="13" t="n"/>
      <c r="D41" s="13" t="n"/>
      <c r="E41" s="13" t="n"/>
      <c r="J41" s="13" t="n"/>
      <c r="K41" s="13" t="n"/>
    </row>
    <row r="42">
      <c r="A42" s="13" t="n"/>
      <c r="B42" s="13" t="n"/>
      <c r="C42" s="13" t="n"/>
      <c r="D42" s="13" t="n"/>
      <c r="E42" s="13" t="n"/>
      <c r="J42" s="13" t="n"/>
      <c r="K42" s="13" t="n"/>
    </row>
    <row r="43">
      <c r="A43" s="13" t="n"/>
      <c r="B43" s="13" t="n"/>
      <c r="C43" s="13" t="n"/>
      <c r="D43" s="13" t="n"/>
      <c r="E43" s="13" t="n"/>
      <c r="J43" s="13" t="n"/>
      <c r="K43" s="13" t="n"/>
    </row>
    <row r="44">
      <c r="A44" s="13" t="n"/>
      <c r="B44" s="13" t="n"/>
      <c r="C44" s="13" t="n"/>
      <c r="D44" s="13" t="n"/>
      <c r="E44" s="13" t="n"/>
      <c r="J44" s="13" t="n"/>
      <c r="K44" s="13" t="n"/>
    </row>
    <row r="45">
      <c r="A45" s="13" t="n"/>
      <c r="B45" s="13" t="n"/>
      <c r="C45" s="13" t="n"/>
      <c r="D45" s="13" t="n"/>
      <c r="E45" s="13" t="n"/>
      <c r="J45" s="13" t="n"/>
      <c r="K45" s="13" t="n"/>
    </row>
    <row r="46">
      <c r="A46" s="13" t="n"/>
      <c r="B46" s="13" t="n"/>
      <c r="C46" s="13" t="n"/>
      <c r="D46" s="13" t="n"/>
      <c r="E46" s="13" t="n"/>
      <c r="J46" s="13" t="n"/>
      <c r="K46" s="13" t="n"/>
    </row>
    <row r="47">
      <c r="A47" s="13" t="n"/>
      <c r="B47" s="13" t="n"/>
      <c r="C47" s="13" t="n"/>
      <c r="D47" s="13" t="n"/>
      <c r="E47" s="13" t="n"/>
      <c r="J47" s="13" t="n"/>
      <c r="K47" s="13" t="n"/>
    </row>
    <row r="48">
      <c r="A48" s="13" t="n"/>
      <c r="B48" s="13" t="n"/>
      <c r="C48" s="13" t="n"/>
      <c r="D48" s="13" t="n"/>
      <c r="E48" s="13" t="n"/>
      <c r="J48" s="13" t="n"/>
      <c r="K48" s="13" t="n"/>
    </row>
    <row r="49">
      <c r="A49" s="13" t="n"/>
      <c r="B49" s="13" t="n"/>
      <c r="C49" s="13" t="n"/>
      <c r="D49" s="13" t="n"/>
      <c r="E49" s="13" t="n"/>
      <c r="J49" s="13" t="n"/>
      <c r="K49" s="13" t="n"/>
    </row>
    <row r="50">
      <c r="A50" s="13" t="n"/>
      <c r="B50" s="13" t="n"/>
      <c r="C50" s="13" t="n"/>
      <c r="D50" s="13" t="n"/>
      <c r="E50" s="13" t="n"/>
      <c r="J50" s="13" t="n"/>
      <c r="K50" s="13" t="n"/>
    </row>
    <row r="51">
      <c r="A51" s="13" t="n"/>
      <c r="B51" s="13" t="n"/>
      <c r="C51" s="13" t="n"/>
      <c r="D51" s="13" t="n"/>
      <c r="E51" s="13" t="n"/>
      <c r="J51" s="13" t="n"/>
      <c r="K51" s="13" t="n"/>
    </row>
    <row r="52">
      <c r="A52" s="13" t="n"/>
      <c r="B52" s="13" t="n"/>
      <c r="C52" s="13" t="n"/>
      <c r="D52" s="13" t="n"/>
      <c r="E52" s="13" t="n"/>
      <c r="J52" s="13" t="n"/>
      <c r="K52" s="13" t="n"/>
    </row>
    <row r="53">
      <c r="A53" s="13" t="n"/>
      <c r="B53" s="13" t="n"/>
      <c r="C53" s="13" t="n"/>
      <c r="D53" s="13" t="n"/>
      <c r="E53" s="13" t="n"/>
      <c r="J53" s="13" t="n"/>
      <c r="K53" s="13" t="n"/>
    </row>
    <row r="54">
      <c r="A54" s="13" t="n"/>
      <c r="B54" s="13" t="n"/>
      <c r="C54" s="13" t="n"/>
      <c r="D54" s="13" t="n"/>
      <c r="E54" s="13" t="n"/>
      <c r="J54" s="13" t="n"/>
      <c r="K54" s="13" t="n"/>
    </row>
    <row r="55">
      <c r="A55" s="13" t="n"/>
      <c r="B55" s="13" t="n"/>
      <c r="C55" s="13" t="n"/>
      <c r="D55" s="13" t="n"/>
      <c r="E55" s="13" t="n"/>
      <c r="J55" s="13" t="n"/>
      <c r="K55" s="13" t="n"/>
    </row>
    <row r="56">
      <c r="A56" s="13" t="n"/>
      <c r="B56" s="13" t="n"/>
      <c r="C56" s="13" t="n"/>
      <c r="D56" s="13" t="n"/>
      <c r="E56" s="13" t="n"/>
      <c r="J56" s="13" t="n"/>
      <c r="K56" s="13" t="n"/>
    </row>
    <row r="57">
      <c r="A57" s="13" t="n"/>
      <c r="B57" s="13" t="n"/>
      <c r="C57" s="13" t="n"/>
      <c r="D57" s="13" t="n"/>
      <c r="E57" s="13" t="n"/>
      <c r="J57" s="13" t="n"/>
      <c r="K57" s="13" t="n"/>
    </row>
    <row r="58">
      <c r="A58" s="13" t="n"/>
      <c r="B58" s="13" t="n"/>
      <c r="C58" s="13" t="n"/>
      <c r="D58" s="13" t="n"/>
      <c r="E58" s="13" t="n"/>
      <c r="J58" s="13" t="n"/>
      <c r="K58" s="13" t="n"/>
    </row>
    <row r="59">
      <c r="A59" s="13" t="n"/>
      <c r="B59" s="13" t="n"/>
      <c r="C59" s="13" t="n"/>
      <c r="D59" s="13" t="n"/>
      <c r="E59" s="13" t="n"/>
      <c r="J59" s="13" t="n"/>
      <c r="K59" s="13" t="n"/>
    </row>
    <row r="60">
      <c r="A60" s="13" t="n"/>
      <c r="B60" s="13" t="n"/>
      <c r="C60" s="13" t="n"/>
      <c r="D60" s="13" t="n"/>
      <c r="E60" s="13" t="n"/>
      <c r="J60" s="13" t="n"/>
      <c r="K60" s="13" t="n"/>
    </row>
    <row r="61">
      <c r="A61" s="13" t="n"/>
      <c r="B61" s="13" t="n"/>
      <c r="C61" s="13" t="n"/>
      <c r="D61" s="13" t="n"/>
      <c r="E61" s="13" t="n"/>
      <c r="J61" s="13" t="n"/>
      <c r="K61" s="13" t="n"/>
    </row>
    <row r="62">
      <c r="A62" s="13" t="n"/>
      <c r="B62" s="13" t="n"/>
      <c r="C62" s="13" t="n"/>
      <c r="D62" s="13" t="n"/>
      <c r="E62" s="13" t="n"/>
      <c r="J62" s="13" t="n"/>
      <c r="K62" s="13" t="n"/>
    </row>
    <row r="63">
      <c r="A63" s="13" t="n"/>
      <c r="B63" s="13" t="n"/>
      <c r="C63" s="13" t="n"/>
      <c r="D63" s="13" t="n"/>
      <c r="E63" s="13" t="n"/>
      <c r="J63" s="13" t="n"/>
      <c r="K63" s="13" t="n"/>
    </row>
    <row r="64">
      <c r="A64" s="13" t="n"/>
      <c r="B64" s="13" t="n"/>
      <c r="C64" s="13" t="n"/>
      <c r="D64" s="13" t="n"/>
      <c r="E64" s="13" t="n"/>
      <c r="J64" s="13" t="n"/>
      <c r="K64" s="13" t="n"/>
    </row>
    <row r="65">
      <c r="A65" s="13" t="n"/>
      <c r="B65" s="13" t="n"/>
      <c r="C65" s="13" t="n"/>
      <c r="D65" s="13" t="n"/>
      <c r="E65" s="13" t="n"/>
      <c r="J65" s="13" t="n"/>
      <c r="K65" s="13" t="n"/>
    </row>
    <row r="66">
      <c r="A66" s="13" t="n"/>
      <c r="B66" s="13" t="n"/>
      <c r="C66" s="13" t="n"/>
      <c r="D66" s="13" t="n"/>
      <c r="E66" s="13" t="n"/>
      <c r="J66" s="13" t="n"/>
      <c r="K66" s="13" t="n"/>
    </row>
    <row r="67">
      <c r="A67" s="13" t="n"/>
      <c r="B67" s="13" t="n"/>
      <c r="C67" s="13" t="n"/>
      <c r="D67" s="13" t="n"/>
      <c r="E67" s="13" t="n"/>
      <c r="J67" s="13" t="n"/>
      <c r="K67" s="13" t="n"/>
    </row>
    <row r="68">
      <c r="A68" s="13" t="n"/>
      <c r="B68" s="13" t="n"/>
      <c r="C68" s="13" t="n"/>
      <c r="D68" s="13" t="n"/>
      <c r="E68" s="13" t="n"/>
      <c r="J68" s="13" t="n"/>
      <c r="K68" s="13" t="n"/>
    </row>
    <row r="69">
      <c r="A69" s="13" t="n"/>
      <c r="B69" s="13" t="n"/>
      <c r="C69" s="13" t="n"/>
      <c r="D69" s="13" t="n"/>
      <c r="E69" s="13" t="n"/>
      <c r="J69" s="13" t="n"/>
      <c r="K69" s="13" t="n"/>
    </row>
    <row r="70">
      <c r="A70" s="13" t="n"/>
      <c r="B70" s="13" t="n"/>
      <c r="C70" s="13" t="n"/>
      <c r="D70" s="13" t="n"/>
      <c r="E70" s="13" t="n"/>
      <c r="J70" s="13" t="n"/>
      <c r="K70" s="13" t="n"/>
    </row>
    <row r="71">
      <c r="A71" s="13" t="n"/>
      <c r="B71" s="13" t="n"/>
      <c r="C71" s="13" t="n"/>
      <c r="D71" s="13" t="n"/>
      <c r="E71" s="13" t="n"/>
      <c r="J71" s="13" t="n"/>
      <c r="K71" s="13" t="n"/>
    </row>
    <row r="72">
      <c r="A72" s="13" t="n"/>
      <c r="B72" s="13" t="n"/>
      <c r="C72" s="13" t="n"/>
      <c r="D72" s="13" t="n"/>
      <c r="E72" s="13" t="n"/>
      <c r="J72" s="13" t="n"/>
      <c r="K72" s="13" t="n"/>
    </row>
    <row r="73">
      <c r="A73" s="13" t="n"/>
      <c r="B73" s="13" t="n"/>
      <c r="C73" s="13" t="n"/>
      <c r="D73" s="13" t="n"/>
      <c r="E73" s="13" t="n"/>
      <c r="J73" s="13" t="n"/>
      <c r="K73" s="13" t="n"/>
    </row>
    <row r="74">
      <c r="A74" s="13" t="n"/>
      <c r="B74" s="13" t="n"/>
      <c r="C74" s="13" t="n"/>
      <c r="D74" s="13" t="n"/>
      <c r="E74" s="13" t="n"/>
      <c r="J74" s="13" t="n"/>
      <c r="K74" s="13" t="n"/>
    </row>
    <row r="75">
      <c r="A75" s="13" t="n"/>
      <c r="B75" s="13" t="n"/>
      <c r="C75" s="13" t="n"/>
      <c r="D75" s="13" t="n"/>
      <c r="E75" s="13" t="n"/>
      <c r="J75" s="13" t="n"/>
      <c r="K75" s="13" t="n"/>
    </row>
    <row r="76">
      <c r="A76" s="13" t="n"/>
      <c r="B76" s="13" t="n"/>
      <c r="C76" s="13" t="n"/>
      <c r="D76" s="13" t="n"/>
      <c r="E76" s="13" t="n"/>
      <c r="J76" s="13" t="n"/>
      <c r="K76" s="13" t="n"/>
    </row>
    <row r="77">
      <c r="A77" s="13" t="n"/>
      <c r="B77" s="13" t="n"/>
      <c r="C77" s="13" t="n"/>
      <c r="D77" s="13" t="n"/>
      <c r="E77" s="13" t="n"/>
      <c r="J77" s="13" t="n"/>
      <c r="K77" s="13" t="n"/>
    </row>
    <row r="78">
      <c r="A78" s="13" t="n"/>
      <c r="B78" s="13" t="n"/>
      <c r="C78" s="13" t="n"/>
      <c r="D78" s="13" t="n"/>
      <c r="E78" s="13" t="n"/>
      <c r="J78" s="13" t="n"/>
      <c r="K78" s="13" t="n"/>
    </row>
    <row r="79">
      <c r="A79" s="13" t="n"/>
      <c r="B79" s="13" t="n"/>
      <c r="C79" s="13" t="n"/>
      <c r="D79" s="13" t="n"/>
      <c r="E79" s="13" t="n"/>
      <c r="J79" s="13" t="n"/>
      <c r="K79" s="13" t="n"/>
    </row>
    <row r="80">
      <c r="A80" s="13" t="n"/>
      <c r="B80" s="13" t="n"/>
      <c r="C80" s="13" t="n"/>
      <c r="D80" s="13" t="n"/>
      <c r="E80" s="13" t="n"/>
      <c r="J80" s="13" t="n"/>
      <c r="K80" s="13" t="n"/>
    </row>
    <row r="81">
      <c r="A81" s="13" t="n"/>
      <c r="B81" s="13" t="n"/>
      <c r="C81" s="13" t="n"/>
      <c r="D81" s="13" t="n"/>
      <c r="E81" s="13" t="n"/>
      <c r="J81" s="13" t="n"/>
      <c r="K81" s="13" t="n"/>
    </row>
    <row r="82">
      <c r="A82" s="13" t="n"/>
      <c r="B82" s="13" t="n"/>
      <c r="C82" s="13" t="n"/>
      <c r="D82" s="13" t="n"/>
      <c r="E82" s="13" t="n"/>
      <c r="J82" s="13" t="n"/>
      <c r="K82" s="13" t="n"/>
    </row>
    <row r="83">
      <c r="A83" s="13" t="n"/>
      <c r="B83" s="13" t="n"/>
      <c r="C83" s="13" t="n"/>
      <c r="D83" s="13" t="n"/>
      <c r="E83" s="13" t="n"/>
      <c r="J83" s="13" t="n"/>
      <c r="K83" s="13" t="n"/>
    </row>
    <row r="84">
      <c r="A84" s="13" t="n"/>
      <c r="B84" s="13" t="n"/>
      <c r="C84" s="13" t="n"/>
      <c r="D84" s="13" t="n"/>
      <c r="E84" s="13" t="n"/>
      <c r="J84" s="13" t="n"/>
      <c r="K84" s="13" t="n"/>
    </row>
    <row r="85">
      <c r="A85" s="13" t="n"/>
      <c r="B85" s="13" t="n"/>
      <c r="C85" s="13" t="n"/>
      <c r="D85" s="13" t="n"/>
      <c r="E85" s="13" t="n"/>
      <c r="J85" s="13" t="n"/>
      <c r="K85" s="13" t="n"/>
    </row>
    <row r="86">
      <c r="A86" s="13" t="n"/>
      <c r="B86" s="13" t="n"/>
      <c r="C86" s="13" t="n"/>
      <c r="D86" s="13" t="n"/>
      <c r="E86" s="13" t="n"/>
      <c r="J86" s="13" t="n"/>
      <c r="K86" s="13" t="n"/>
    </row>
    <row r="87">
      <c r="A87" s="13" t="n"/>
      <c r="B87" s="13" t="n"/>
      <c r="C87" s="13" t="n"/>
      <c r="D87" s="13" t="n"/>
      <c r="E87" s="13" t="n"/>
      <c r="J87" s="13" t="n"/>
      <c r="K87" s="13" t="n"/>
    </row>
    <row r="88">
      <c r="A88" s="13" t="n"/>
      <c r="B88" s="13" t="n"/>
      <c r="C88" s="13" t="n"/>
      <c r="D88" s="13" t="n"/>
      <c r="E88" s="13" t="n"/>
      <c r="J88" s="13" t="n"/>
      <c r="K88" s="13" t="n"/>
    </row>
    <row r="89">
      <c r="A89" s="13" t="n"/>
      <c r="B89" s="13" t="n"/>
      <c r="C89" s="13" t="n"/>
      <c r="D89" s="13" t="n"/>
      <c r="E89" s="13" t="n"/>
      <c r="J89" s="13" t="n"/>
      <c r="K89" s="13" t="n"/>
    </row>
    <row r="90">
      <c r="A90" s="13" t="n"/>
      <c r="B90" s="13" t="n"/>
      <c r="C90" s="13" t="n"/>
      <c r="D90" s="13" t="n"/>
      <c r="E90" s="13" t="n"/>
      <c r="J90" s="13" t="n"/>
      <c r="K90" s="13" t="n"/>
    </row>
    <row r="91">
      <c r="A91" s="13" t="n"/>
      <c r="B91" s="13" t="n"/>
      <c r="C91" s="13" t="n"/>
      <c r="D91" s="13" t="n"/>
      <c r="E91" s="13" t="n"/>
      <c r="J91" s="13" t="n"/>
      <c r="K91" s="13" t="n"/>
    </row>
    <row r="92">
      <c r="A92" s="13" t="n"/>
      <c r="B92" s="13" t="n"/>
      <c r="C92" s="13" t="n"/>
      <c r="D92" s="13" t="n"/>
      <c r="E92" s="13" t="n"/>
      <c r="J92" s="13" t="n"/>
      <c r="K92" s="13" t="n"/>
    </row>
    <row r="93">
      <c r="A93" s="13" t="n"/>
      <c r="B93" s="13" t="n"/>
      <c r="C93" s="13" t="n"/>
      <c r="D93" s="13" t="n"/>
      <c r="E93" s="13" t="n"/>
      <c r="J93" s="13" t="n"/>
      <c r="K93" s="13" t="n"/>
    </row>
    <row r="94">
      <c r="A94" s="13" t="n"/>
      <c r="B94" s="13" t="n"/>
      <c r="C94" s="13" t="n"/>
      <c r="D94" s="13" t="n"/>
      <c r="E94" s="13" t="n"/>
      <c r="J94" s="13" t="n"/>
      <c r="K94" s="13" t="n"/>
    </row>
    <row r="95">
      <c r="A95" s="13" t="n"/>
      <c r="B95" s="13" t="n"/>
      <c r="C95" s="13" t="n"/>
      <c r="D95" s="13" t="n"/>
      <c r="E95" s="13" t="n"/>
      <c r="J95" s="13" t="n"/>
      <c r="K95" s="13" t="n"/>
    </row>
    <row r="96">
      <c r="A96" s="13" t="n"/>
      <c r="B96" s="13" t="n"/>
      <c r="C96" s="13" t="n"/>
      <c r="D96" s="13" t="n"/>
      <c r="E96" s="13" t="n"/>
      <c r="J96" s="13" t="n"/>
      <c r="K96" s="13" t="n"/>
    </row>
    <row r="97">
      <c r="A97" s="13" t="n"/>
      <c r="B97" s="13" t="n"/>
      <c r="C97" s="13" t="n"/>
      <c r="D97" s="13" t="n"/>
      <c r="E97" s="13" t="n"/>
      <c r="J97" s="13" t="n"/>
      <c r="K97" s="13" t="n"/>
    </row>
    <row r="98">
      <c r="A98" s="13" t="n"/>
      <c r="B98" s="13" t="n"/>
      <c r="C98" s="13" t="n"/>
      <c r="D98" s="13" t="n"/>
      <c r="E98" s="13" t="n"/>
      <c r="J98" s="13" t="n"/>
      <c r="K98" s="13" t="n"/>
    </row>
    <row r="99">
      <c r="A99" s="13" t="n"/>
      <c r="B99" s="13" t="n"/>
      <c r="C99" s="13" t="n"/>
      <c r="D99" s="13" t="n"/>
      <c r="E99" s="13" t="n"/>
      <c r="J99" s="13" t="n"/>
      <c r="K99" s="13" t="n"/>
    </row>
    <row r="100">
      <c r="A100" s="13" t="n"/>
      <c r="B100" s="13" t="n"/>
      <c r="C100" s="13" t="n"/>
      <c r="D100" s="13" t="n"/>
      <c r="E100" s="13" t="n"/>
      <c r="J100" s="13" t="n"/>
      <c r="K100" s="13" t="n"/>
    </row>
    <row r="101">
      <c r="A101" s="13" t="n"/>
      <c r="B101" s="13" t="n"/>
      <c r="C101" s="13" t="n"/>
      <c r="D101" s="13" t="n"/>
      <c r="E101" s="13" t="n"/>
      <c r="J101" s="13" t="n"/>
      <c r="K101" s="13" t="n"/>
    </row>
    <row r="102">
      <c r="A102" s="13" t="n"/>
      <c r="B102" s="13" t="n"/>
      <c r="C102" s="13" t="n"/>
      <c r="D102" s="13" t="n"/>
      <c r="E102" s="13" t="n"/>
      <c r="J102" s="13" t="n"/>
      <c r="K102" s="13" t="n"/>
    </row>
    <row r="103">
      <c r="A103" s="13" t="n"/>
      <c r="B103" s="13" t="n"/>
      <c r="C103" s="13" t="n"/>
      <c r="D103" s="13" t="n"/>
      <c r="E103" s="13" t="n"/>
      <c r="J103" s="13" t="n"/>
      <c r="K103" s="13" t="n"/>
    </row>
    <row r="104">
      <c r="A104" s="13" t="n"/>
      <c r="B104" s="13" t="n"/>
      <c r="C104" s="13" t="n"/>
      <c r="D104" s="13" t="n"/>
      <c r="E104" s="13" t="n"/>
      <c r="J104" s="13" t="n"/>
      <c r="K104" s="1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conditionalFormatting sqref="I5:I19">
    <cfRule type="cellIs" priority="1" operator="equal" dxfId="0">
      <formula>"A COMMANDER"</formula>
    </cfRule>
    <cfRule type="cellIs" priority="2" operator="equal" dxfId="1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0" customWidth="1" min="4" max="4"/>
    <col width="25" customWidth="1" min="5" max="5"/>
    <col width="8" customWidth="1" min="6" max="6"/>
  </cols>
  <sheetData>
    <row r="1">
      <c r="A1" s="13" t="n"/>
      <c r="B1" s="13" t="n"/>
      <c r="D1" s="13" t="n"/>
      <c r="E1" s="13" t="n"/>
    </row>
    <row r="2">
      <c r="A2" s="14" t="inlineStr">
        <is>
          <t>Saisie : Date, Produit, Quantité, Fournisseur.</t>
        </is>
      </c>
      <c r="B2" s="13" t="n"/>
      <c r="D2" s="13" t="n"/>
      <c r="E2" s="13" t="n"/>
    </row>
    <row r="3">
      <c r="A3" s="13" t="n"/>
      <c r="B3" s="13" t="n"/>
      <c r="D3" s="13" t="n"/>
      <c r="E3" s="13" t="n"/>
    </row>
    <row r="4">
      <c r="A4" s="15" t="inlineStr">
        <is>
          <t>Date</t>
        </is>
      </c>
      <c r="B4" s="15" t="inlineStr">
        <is>
          <t>Produit</t>
        </is>
      </c>
      <c r="C4" s="8" t="inlineStr">
        <is>
          <t>SKU (auto)</t>
        </is>
      </c>
      <c r="D4" s="15" t="inlineStr">
        <is>
          <t>Quantité</t>
        </is>
      </c>
      <c r="E4" s="15" t="inlineStr">
        <is>
          <t>Fournisseur</t>
        </is>
      </c>
      <c r="F4" s="21" t="inlineStr">
        <is>
          <t>Rang</t>
        </is>
      </c>
    </row>
    <row r="5">
      <c r="A5" s="22" t="n">
        <v>46236</v>
      </c>
      <c r="B5" s="16" t="inlineStr">
        <is>
          <t>Dell — Latitude 5420 i5/16Go/512Go</t>
        </is>
      </c>
      <c r="C5" s="9">
        <f>IFERROR(INDEX(Produits!$A:$A,MATCH($B5,Produits!$B:$B,0)),"")</f>
        <v/>
      </c>
      <c r="D5" s="16" t="n">
        <v>5</v>
      </c>
      <c r="E5" s="16" t="inlineStr">
        <is>
          <t>TechSource Cameroun</t>
        </is>
      </c>
      <c r="F5" s="20">
        <f>IF($A5="","",COUNT($A$5:A5))</f>
        <v/>
      </c>
    </row>
    <row r="6">
      <c r="A6" s="22" t="n">
        <v>46239</v>
      </c>
      <c r="B6" s="16" t="inlineStr">
        <is>
          <t>Kingston — SSD NV2 512 Go</t>
        </is>
      </c>
      <c r="C6" s="9">
        <f>IFERROR(INDEX(Produits!$A:$A,MATCH($B6,Produits!$B:$B,0)),"")</f>
        <v/>
      </c>
      <c r="D6" s="16" t="n">
        <v>20</v>
      </c>
      <c r="E6" s="16" t="inlineStr">
        <is>
          <t>Digital Pro Yaoundé</t>
        </is>
      </c>
      <c r="F6" s="20">
        <f>IF($A6="","",COUNT($A$5:A6))</f>
        <v/>
      </c>
    </row>
    <row r="7">
      <c r="A7" s="22" t="n">
        <v>46268</v>
      </c>
      <c r="B7" s="16" t="inlineStr">
        <is>
          <t>HP — EliteBook 840 G8 i5/16Go/512Go</t>
        </is>
      </c>
      <c r="C7" s="9">
        <f>IFERROR(INDEX(Produits!$A:$A,MATCH($B7,Produits!$B:$B,0)),"")</f>
        <v/>
      </c>
      <c r="D7" s="16" t="n">
        <v>3</v>
      </c>
      <c r="E7" s="16" t="inlineStr">
        <is>
          <t>TechSource Cameroun</t>
        </is>
      </c>
      <c r="F7" s="20">
        <f>IF($A7="","",COUNT($A$5:A7))</f>
        <v/>
      </c>
    </row>
    <row r="8">
      <c r="A8" s="22" t="n">
        <v>46275</v>
      </c>
      <c r="B8" s="16" t="inlineStr">
        <is>
          <t>Dell — Chargeur USB-C 65 W</t>
        </is>
      </c>
      <c r="C8" s="9">
        <f>IFERROR(INDEX(Produits!$A:$A,MATCH($B8,Produits!$B:$B,0)),"")</f>
        <v/>
      </c>
      <c r="D8" s="16" t="n">
        <v>5</v>
      </c>
      <c r="E8" s="16" t="inlineStr">
        <is>
          <t>Global IT Supply</t>
        </is>
      </c>
      <c r="F8" s="20">
        <f>IF($A8="","",COUNT($A$5:A8))</f>
        <v/>
      </c>
    </row>
    <row r="9">
      <c r="A9" s="22" t="n">
        <v>46282</v>
      </c>
      <c r="B9" s="16" t="inlineStr">
        <is>
          <t>HP — EliteBook 840 G8 i5/16Go/512Go</t>
        </is>
      </c>
      <c r="C9" s="9">
        <f>IFERROR(INDEX(Produits!$A:$A,MATCH($B9,Produits!$B:$B,0)),"")</f>
        <v/>
      </c>
      <c r="D9" s="16" t="n">
        <v>1</v>
      </c>
      <c r="E9" s="16" t="inlineStr">
        <is>
          <t>Digital Pro Yaoundé</t>
        </is>
      </c>
      <c r="F9" s="20">
        <f>IF($A9="","",COUNT($A$5:A9))</f>
        <v/>
      </c>
    </row>
    <row r="10">
      <c r="A10" s="16" t="n"/>
      <c r="B10" s="16" t="n"/>
      <c r="C10" s="9">
        <f>IFERROR(INDEX(Produits!$A:$A,MATCH($B10,Produits!$B:$B,0)),"")</f>
        <v/>
      </c>
      <c r="D10" s="16" t="n"/>
      <c r="E10" s="16" t="n"/>
      <c r="F10" s="20">
        <f>IF($A10="","",COUNT($A$5:A10))</f>
        <v/>
      </c>
    </row>
    <row r="11">
      <c r="A11" s="16" t="n"/>
      <c r="B11" s="16" t="n"/>
      <c r="C11" s="9">
        <f>IFERROR(INDEX(Produits!$A:$A,MATCH($B11,Produits!$B:$B,0)),"")</f>
        <v/>
      </c>
      <c r="D11" s="16" t="n"/>
      <c r="E11" s="16" t="n"/>
      <c r="F11" s="20">
        <f>IF($A11="","",COUNT($A$5:A11))</f>
        <v/>
      </c>
    </row>
    <row r="12">
      <c r="A12" s="16" t="n"/>
      <c r="B12" s="16" t="n"/>
      <c r="C12" s="9">
        <f>IFERROR(INDEX(Produits!$A:$A,MATCH($B12,Produits!$B:$B,0)),"")</f>
        <v/>
      </c>
      <c r="D12" s="16" t="n"/>
      <c r="E12" s="16" t="n"/>
      <c r="F12" s="20">
        <f>IF($A12="","",COUNT($A$5:A12))</f>
        <v/>
      </c>
    </row>
    <row r="13">
      <c r="A13" s="16" t="n"/>
      <c r="B13" s="16" t="n"/>
      <c r="C13" s="9">
        <f>IFERROR(INDEX(Produits!$A:$A,MATCH($B13,Produits!$B:$B,0)),"")</f>
        <v/>
      </c>
      <c r="D13" s="16" t="n"/>
      <c r="E13" s="16" t="n"/>
      <c r="F13" s="20">
        <f>IF($A13="","",COUNT($A$5:A13))</f>
        <v/>
      </c>
    </row>
    <row r="14">
      <c r="A14" s="16" t="n"/>
      <c r="B14" s="16" t="n"/>
      <c r="C14" s="9">
        <f>IFERROR(INDEX(Produits!$A:$A,MATCH($B14,Produits!$B:$B,0)),"")</f>
        <v/>
      </c>
      <c r="D14" s="16" t="n"/>
      <c r="E14" s="16" t="n"/>
      <c r="F14" s="20">
        <f>IF($A14="","",COUNT($A$5:A14))</f>
        <v/>
      </c>
    </row>
    <row r="15">
      <c r="A15" s="16" t="n"/>
      <c r="B15" s="16" t="n"/>
      <c r="C15" s="9">
        <f>IFERROR(INDEX(Produits!$A:$A,MATCH($B15,Produits!$B:$B,0)),"")</f>
        <v/>
      </c>
      <c r="D15" s="16" t="n"/>
      <c r="E15" s="16" t="n"/>
      <c r="F15" s="20">
        <f>IF($A15="","",COUNT($A$5:A15))</f>
        <v/>
      </c>
    </row>
    <row r="16">
      <c r="A16" s="16" t="n"/>
      <c r="B16" s="16" t="n"/>
      <c r="C16" s="9">
        <f>IFERROR(INDEX(Produits!$A:$A,MATCH($B16,Produits!$B:$B,0)),"")</f>
        <v/>
      </c>
      <c r="D16" s="16" t="n"/>
      <c r="E16" s="16" t="n"/>
      <c r="F16" s="20">
        <f>IF($A16="","",COUNT($A$5:A16))</f>
        <v/>
      </c>
    </row>
    <row r="17">
      <c r="A17" s="16" t="n"/>
      <c r="B17" s="16" t="n"/>
      <c r="C17" s="9">
        <f>IFERROR(INDEX(Produits!$A:$A,MATCH($B17,Produits!$B:$B,0)),"")</f>
        <v/>
      </c>
      <c r="D17" s="16" t="n"/>
      <c r="E17" s="16" t="n"/>
      <c r="F17" s="20">
        <f>IF($A17="","",COUNT($A$5:A17))</f>
        <v/>
      </c>
    </row>
    <row r="18">
      <c r="A18" s="16" t="n"/>
      <c r="B18" s="16" t="n"/>
      <c r="C18" s="9">
        <f>IFERROR(INDEX(Produits!$A:$A,MATCH($B18,Produits!$B:$B,0)),"")</f>
        <v/>
      </c>
      <c r="D18" s="16" t="n"/>
      <c r="E18" s="16" t="n"/>
      <c r="F18" s="20">
        <f>IF($A18="","",COUNT($A$5:A18))</f>
        <v/>
      </c>
    </row>
    <row r="19">
      <c r="A19" s="16" t="n"/>
      <c r="B19" s="16" t="n"/>
      <c r="C19" s="9">
        <f>IFERROR(INDEX(Produits!$A:$A,MATCH($B19,Produits!$B:$B,0)),"")</f>
        <v/>
      </c>
      <c r="D19" s="16" t="n"/>
      <c r="E19" s="16" t="n"/>
      <c r="F19" s="20">
        <f>IF($A19="","",COUNT($A$5:A19))</f>
        <v/>
      </c>
    </row>
    <row r="20">
      <c r="A20" s="16" t="n"/>
      <c r="B20" s="16" t="n"/>
      <c r="C20" s="9">
        <f>IFERROR(INDEX(Produits!$A:$A,MATCH($B20,Produits!$B:$B,0)),"")</f>
        <v/>
      </c>
      <c r="D20" s="16" t="n"/>
      <c r="E20" s="16" t="n"/>
      <c r="F20" s="20">
        <f>IF($A20="","",COUNT($A$5:A20))</f>
        <v/>
      </c>
    </row>
    <row r="21">
      <c r="A21" s="16" t="n"/>
      <c r="B21" s="16" t="n"/>
      <c r="C21" s="9">
        <f>IFERROR(INDEX(Produits!$A:$A,MATCH($B21,Produits!$B:$B,0)),"")</f>
        <v/>
      </c>
      <c r="D21" s="16" t="n"/>
      <c r="E21" s="16" t="n"/>
      <c r="F21" s="20">
        <f>IF($A21="","",COUNT($A$5:A21))</f>
        <v/>
      </c>
    </row>
    <row r="22">
      <c r="A22" s="16" t="n"/>
      <c r="B22" s="16" t="n"/>
      <c r="C22" s="9">
        <f>IFERROR(INDEX(Produits!$A:$A,MATCH($B22,Produits!$B:$B,0)),"")</f>
        <v/>
      </c>
      <c r="D22" s="16" t="n"/>
      <c r="E22" s="16" t="n"/>
      <c r="F22" s="20">
        <f>IF($A22="","",COUNT($A$5:A22))</f>
        <v/>
      </c>
    </row>
    <row r="23">
      <c r="A23" s="16" t="n"/>
      <c r="B23" s="16" t="n"/>
      <c r="C23" s="9">
        <f>IFERROR(INDEX(Produits!$A:$A,MATCH($B23,Produits!$B:$B,0)),"")</f>
        <v/>
      </c>
      <c r="D23" s="16" t="n"/>
      <c r="E23" s="16" t="n"/>
      <c r="F23" s="20">
        <f>IF($A23="","",COUNT($A$5:A23))</f>
        <v/>
      </c>
    </row>
    <row r="24">
      <c r="A24" s="16" t="n"/>
      <c r="B24" s="16" t="n"/>
      <c r="C24" s="9">
        <f>IFERROR(INDEX(Produits!$A:$A,MATCH($B24,Produits!$B:$B,0)),"")</f>
        <v/>
      </c>
      <c r="D24" s="16" t="n"/>
      <c r="E24" s="16" t="n"/>
      <c r="F24" s="20">
        <f>IF($A24="","",COUNT($A$5:A24))</f>
        <v/>
      </c>
    </row>
    <row r="25">
      <c r="A25" s="16" t="n"/>
      <c r="B25" s="16" t="n"/>
      <c r="C25" s="9">
        <f>IFERROR(INDEX(Produits!$A:$A,MATCH($B25,Produits!$B:$B,0)),"")</f>
        <v/>
      </c>
      <c r="D25" s="16" t="n"/>
      <c r="E25" s="16" t="n"/>
      <c r="F25" s="20">
        <f>IF($A25="","",COUNT($A$5:A25))</f>
        <v/>
      </c>
    </row>
    <row r="26">
      <c r="A26" s="16" t="n"/>
      <c r="B26" s="16" t="n"/>
      <c r="C26" s="9">
        <f>IFERROR(INDEX(Produits!$A:$A,MATCH($B26,Produits!$B:$B,0)),"")</f>
        <v/>
      </c>
      <c r="D26" s="16" t="n"/>
      <c r="E26" s="16" t="n"/>
      <c r="F26" s="20">
        <f>IF($A26="","",COUNT($A$5:A26))</f>
        <v/>
      </c>
    </row>
    <row r="27">
      <c r="A27" s="16" t="n"/>
      <c r="B27" s="16" t="n"/>
      <c r="C27" s="9">
        <f>IFERROR(INDEX(Produits!$A:$A,MATCH($B27,Produits!$B:$B,0)),"")</f>
        <v/>
      </c>
      <c r="D27" s="16" t="n"/>
      <c r="E27" s="16" t="n"/>
      <c r="F27" s="20">
        <f>IF($A27="","",COUNT($A$5:A27))</f>
        <v/>
      </c>
    </row>
    <row r="28">
      <c r="A28" s="16" t="n"/>
      <c r="B28" s="16" t="n"/>
      <c r="C28" s="9">
        <f>IFERROR(INDEX(Produits!$A:$A,MATCH($B28,Produits!$B:$B,0)),"")</f>
        <v/>
      </c>
      <c r="D28" s="16" t="n"/>
      <c r="E28" s="16" t="n"/>
      <c r="F28" s="20">
        <f>IF($A28="","",COUNT($A$5:A28))</f>
        <v/>
      </c>
    </row>
    <row r="29">
      <c r="A29" s="16" t="n"/>
      <c r="B29" s="16" t="n"/>
      <c r="C29" s="9">
        <f>IFERROR(INDEX(Produits!$A:$A,MATCH($B29,Produits!$B:$B,0)),"")</f>
        <v/>
      </c>
      <c r="D29" s="16" t="n"/>
      <c r="E29" s="16" t="n"/>
      <c r="F29" s="20">
        <f>IF($A29="","",COUNT($A$5:A29))</f>
        <v/>
      </c>
    </row>
    <row r="30">
      <c r="A30" s="16" t="n"/>
      <c r="B30" s="16" t="n"/>
      <c r="C30" s="9">
        <f>IFERROR(INDEX(Produits!$A:$A,MATCH($B30,Produits!$B:$B,0)),"")</f>
        <v/>
      </c>
      <c r="D30" s="16" t="n"/>
      <c r="E30" s="16" t="n"/>
      <c r="F30" s="20">
        <f>IF($A30="","",COUNT($A$5:A30))</f>
        <v/>
      </c>
    </row>
    <row r="31">
      <c r="A31" s="16" t="n"/>
      <c r="B31" s="16" t="n"/>
      <c r="C31" s="9">
        <f>IFERROR(INDEX(Produits!$A:$A,MATCH($B31,Produits!$B:$B,0)),"")</f>
        <v/>
      </c>
      <c r="D31" s="16" t="n"/>
      <c r="E31" s="16" t="n"/>
      <c r="F31" s="20">
        <f>IF($A31="","",COUNT($A$5:A31))</f>
        <v/>
      </c>
    </row>
    <row r="32">
      <c r="A32" s="16" t="n"/>
      <c r="B32" s="16" t="n"/>
      <c r="C32" s="9">
        <f>IFERROR(INDEX(Produits!$A:$A,MATCH($B32,Produits!$B:$B,0)),"")</f>
        <v/>
      </c>
      <c r="D32" s="16" t="n"/>
      <c r="E32" s="16" t="n"/>
      <c r="F32" s="20">
        <f>IF($A32="","",COUNT($A$5:A32))</f>
        <v/>
      </c>
    </row>
    <row r="33">
      <c r="A33" s="16" t="n"/>
      <c r="B33" s="16" t="n"/>
      <c r="C33" s="9">
        <f>IFERROR(INDEX(Produits!$A:$A,MATCH($B33,Produits!$B:$B,0)),"")</f>
        <v/>
      </c>
      <c r="D33" s="16" t="n"/>
      <c r="E33" s="16" t="n"/>
      <c r="F33" s="20">
        <f>IF($A33="","",COUNT($A$5:A33))</f>
        <v/>
      </c>
    </row>
    <row r="34">
      <c r="A34" s="16" t="n"/>
      <c r="B34" s="16" t="n"/>
      <c r="C34" s="9">
        <f>IFERROR(INDEX(Produits!$A:$A,MATCH($B34,Produits!$B:$B,0)),"")</f>
        <v/>
      </c>
      <c r="D34" s="16" t="n"/>
      <c r="E34" s="16" t="n"/>
      <c r="F34" s="20">
        <f>IF($A34="","",COUNT($A$5:A34))</f>
        <v/>
      </c>
    </row>
    <row r="35">
      <c r="A35" s="16" t="n"/>
      <c r="B35" s="16" t="n"/>
      <c r="C35" s="9">
        <f>IFERROR(INDEX(Produits!$A:$A,MATCH($B35,Produits!$B:$B,0)),"")</f>
        <v/>
      </c>
      <c r="D35" s="16" t="n"/>
      <c r="E35" s="16" t="n"/>
      <c r="F35" s="20">
        <f>IF($A35="","",COUNT($A$5:A35))</f>
        <v/>
      </c>
    </row>
    <row r="36">
      <c r="A36" s="16" t="n"/>
      <c r="B36" s="16" t="n"/>
      <c r="C36" s="9">
        <f>IFERROR(INDEX(Produits!$A:$A,MATCH($B36,Produits!$B:$B,0)),"")</f>
        <v/>
      </c>
      <c r="D36" s="16" t="n"/>
      <c r="E36" s="16" t="n"/>
      <c r="F36" s="20">
        <f>IF($A36="","",COUNT($A$5:A36))</f>
        <v/>
      </c>
    </row>
    <row r="37">
      <c r="A37" s="16" t="n"/>
      <c r="B37" s="16" t="n"/>
      <c r="C37" s="9">
        <f>IFERROR(INDEX(Produits!$A:$A,MATCH($B37,Produits!$B:$B,0)),"")</f>
        <v/>
      </c>
      <c r="D37" s="16" t="n"/>
      <c r="E37" s="16" t="n"/>
      <c r="F37" s="20">
        <f>IF($A37="","",COUNT($A$5:A37))</f>
        <v/>
      </c>
    </row>
    <row r="38">
      <c r="A38" s="16" t="n"/>
      <c r="B38" s="16" t="n"/>
      <c r="C38" s="9">
        <f>IFERROR(INDEX(Produits!$A:$A,MATCH($B38,Produits!$B:$B,0)),"")</f>
        <v/>
      </c>
      <c r="D38" s="16" t="n"/>
      <c r="E38" s="16" t="n"/>
      <c r="F38" s="20">
        <f>IF($A38="","",COUNT($A$5:A38))</f>
        <v/>
      </c>
    </row>
    <row r="39">
      <c r="A39" s="16" t="n"/>
      <c r="B39" s="16" t="n"/>
      <c r="C39" s="9">
        <f>IFERROR(INDEX(Produits!$A:$A,MATCH($B39,Produits!$B:$B,0)),"")</f>
        <v/>
      </c>
      <c r="D39" s="16" t="n"/>
      <c r="E39" s="16" t="n"/>
      <c r="F39" s="20">
        <f>IF($A39="","",COUNT($A$5:A39))</f>
        <v/>
      </c>
    </row>
    <row r="40">
      <c r="A40" s="16" t="n"/>
      <c r="B40" s="16" t="n"/>
      <c r="C40" s="9">
        <f>IFERROR(INDEX(Produits!$A:$A,MATCH($B40,Produits!$B:$B,0)),"")</f>
        <v/>
      </c>
      <c r="D40" s="16" t="n"/>
      <c r="E40" s="16" t="n"/>
      <c r="F40" s="20">
        <f>IF($A40="","",COUNT($A$5:A40))</f>
        <v/>
      </c>
    </row>
    <row r="41">
      <c r="A41" s="16" t="n"/>
      <c r="B41" s="16" t="n"/>
      <c r="C41" s="9">
        <f>IFERROR(INDEX(Produits!$A:$A,MATCH($B41,Produits!$B:$B,0)),"")</f>
        <v/>
      </c>
      <c r="D41" s="16" t="n"/>
      <c r="E41" s="16" t="n"/>
      <c r="F41" s="20">
        <f>IF($A41="","",COUNT($A$5:A41))</f>
        <v/>
      </c>
    </row>
    <row r="42">
      <c r="A42" s="16" t="n"/>
      <c r="B42" s="16" t="n"/>
      <c r="C42" s="9">
        <f>IFERROR(INDEX(Produits!$A:$A,MATCH($B42,Produits!$B:$B,0)),"")</f>
        <v/>
      </c>
      <c r="D42" s="16" t="n"/>
      <c r="E42" s="16" t="n"/>
      <c r="F42" s="20">
        <f>IF($A42="","",COUNT($A$5:A42))</f>
        <v/>
      </c>
    </row>
    <row r="43">
      <c r="A43" s="16" t="n"/>
      <c r="B43" s="16" t="n"/>
      <c r="C43" s="9">
        <f>IFERROR(INDEX(Produits!$A:$A,MATCH($B43,Produits!$B:$B,0)),"")</f>
        <v/>
      </c>
      <c r="D43" s="16" t="n"/>
      <c r="E43" s="16" t="n"/>
      <c r="F43" s="20">
        <f>IF($A43="","",COUNT($A$5:A43))</f>
        <v/>
      </c>
    </row>
    <row r="44">
      <c r="A44" s="16" t="n"/>
      <c r="B44" s="16" t="n"/>
      <c r="C44" s="9">
        <f>IFERROR(INDEX(Produits!$A:$A,MATCH($B44,Produits!$B:$B,0)),"")</f>
        <v/>
      </c>
      <c r="D44" s="16" t="n"/>
      <c r="E44" s="16" t="n"/>
      <c r="F44" s="20">
        <f>IF($A44="","",COUNT($A$5:A44))</f>
        <v/>
      </c>
    </row>
    <row r="45">
      <c r="A45" s="16" t="n"/>
      <c r="B45" s="16" t="n"/>
      <c r="C45" s="9">
        <f>IFERROR(INDEX(Produits!$A:$A,MATCH($B45,Produits!$B:$B,0)),"")</f>
        <v/>
      </c>
      <c r="D45" s="16" t="n"/>
      <c r="E45" s="16" t="n"/>
      <c r="F45" s="20">
        <f>IF($A45="","",COUNT($A$5:A45))</f>
        <v/>
      </c>
    </row>
    <row r="46">
      <c r="A46" s="16" t="n"/>
      <c r="B46" s="16" t="n"/>
      <c r="C46" s="9">
        <f>IFERROR(INDEX(Produits!$A:$A,MATCH($B46,Produits!$B:$B,0)),"")</f>
        <v/>
      </c>
      <c r="D46" s="16" t="n"/>
      <c r="E46" s="16" t="n"/>
      <c r="F46" s="20">
        <f>IF($A46="","",COUNT($A$5:A46))</f>
        <v/>
      </c>
    </row>
    <row r="47">
      <c r="A47" s="16" t="n"/>
      <c r="B47" s="16" t="n"/>
      <c r="C47" s="9">
        <f>IFERROR(INDEX(Produits!$A:$A,MATCH($B47,Produits!$B:$B,0)),"")</f>
        <v/>
      </c>
      <c r="D47" s="16" t="n"/>
      <c r="E47" s="16" t="n"/>
      <c r="F47" s="20">
        <f>IF($A47="","",COUNT($A$5:A47))</f>
        <v/>
      </c>
    </row>
    <row r="48">
      <c r="A48" s="16" t="n"/>
      <c r="B48" s="16" t="n"/>
      <c r="C48" s="9">
        <f>IFERROR(INDEX(Produits!$A:$A,MATCH($B48,Produits!$B:$B,0)),"")</f>
        <v/>
      </c>
      <c r="D48" s="16" t="n"/>
      <c r="E48" s="16" t="n"/>
      <c r="F48" s="20">
        <f>IF($A48="","",COUNT($A$5:A48))</f>
        <v/>
      </c>
    </row>
    <row r="49">
      <c r="A49" s="16" t="n"/>
      <c r="B49" s="16" t="n"/>
      <c r="C49" s="9">
        <f>IFERROR(INDEX(Produits!$A:$A,MATCH($B49,Produits!$B:$B,0)),"")</f>
        <v/>
      </c>
      <c r="D49" s="16" t="n"/>
      <c r="E49" s="16" t="n"/>
      <c r="F49" s="20">
        <f>IF($A49="","",COUNT($A$5:A49))</f>
        <v/>
      </c>
    </row>
    <row r="50">
      <c r="A50" s="16" t="n"/>
      <c r="B50" s="16" t="n"/>
      <c r="C50" s="9">
        <f>IFERROR(INDEX(Produits!$A:$A,MATCH($B50,Produits!$B:$B,0)),"")</f>
        <v/>
      </c>
      <c r="D50" s="16" t="n"/>
      <c r="E50" s="16" t="n"/>
      <c r="F50" s="20">
        <f>IF($A50="","",COUNT($A$5:A50))</f>
        <v/>
      </c>
    </row>
    <row r="51">
      <c r="A51" s="16" t="n"/>
      <c r="B51" s="16" t="n"/>
      <c r="C51" s="9">
        <f>IFERROR(INDEX(Produits!$A:$A,MATCH($B51,Produits!$B:$B,0)),"")</f>
        <v/>
      </c>
      <c r="D51" s="16" t="n"/>
      <c r="E51" s="16" t="n"/>
      <c r="F51" s="20">
        <f>IF($A51="","",COUNT($A$5:A51))</f>
        <v/>
      </c>
    </row>
    <row r="52">
      <c r="A52" s="16" t="n"/>
      <c r="B52" s="16" t="n"/>
      <c r="C52" s="9">
        <f>IFERROR(INDEX(Produits!$A:$A,MATCH($B52,Produits!$B:$B,0)),"")</f>
        <v/>
      </c>
      <c r="D52" s="16" t="n"/>
      <c r="E52" s="16" t="n"/>
      <c r="F52" s="20">
        <f>IF($A52="","",COUNT($A$5:A52))</f>
        <v/>
      </c>
    </row>
    <row r="53">
      <c r="A53" s="16" t="n"/>
      <c r="B53" s="16" t="n"/>
      <c r="C53" s="9">
        <f>IFERROR(INDEX(Produits!$A:$A,MATCH($B53,Produits!$B:$B,0)),"")</f>
        <v/>
      </c>
      <c r="D53" s="16" t="n"/>
      <c r="E53" s="16" t="n"/>
      <c r="F53" s="20">
        <f>IF($A53="","",COUNT($A$5:A53))</f>
        <v/>
      </c>
    </row>
    <row r="54">
      <c r="A54" s="16" t="n"/>
      <c r="B54" s="16" t="n"/>
      <c r="C54" s="9">
        <f>IFERROR(INDEX(Produits!$A:$A,MATCH($B54,Produits!$B:$B,0)),"")</f>
        <v/>
      </c>
      <c r="D54" s="16" t="n"/>
      <c r="E54" s="16" t="n"/>
      <c r="F54" s="20">
        <f>IF($A54="","",COUNT($A$5:A54))</f>
        <v/>
      </c>
    </row>
    <row r="55">
      <c r="A55" s="16" t="n"/>
      <c r="B55" s="16" t="n"/>
      <c r="C55" s="9">
        <f>IFERROR(INDEX(Produits!$A:$A,MATCH($B55,Produits!$B:$B,0)),"")</f>
        <v/>
      </c>
      <c r="D55" s="16" t="n"/>
      <c r="E55" s="16" t="n"/>
      <c r="F55" s="20">
        <f>IF($A55="","",COUNT($A$5:A55))</f>
        <v/>
      </c>
    </row>
    <row r="56">
      <c r="A56" s="16" t="n"/>
      <c r="B56" s="16" t="n"/>
      <c r="C56" s="9">
        <f>IFERROR(INDEX(Produits!$A:$A,MATCH($B56,Produits!$B:$B,0)),"")</f>
        <v/>
      </c>
      <c r="D56" s="16" t="n"/>
      <c r="E56" s="16" t="n"/>
      <c r="F56" s="20">
        <f>IF($A56="","",COUNT($A$5:A56))</f>
        <v/>
      </c>
    </row>
    <row r="57">
      <c r="A57" s="16" t="n"/>
      <c r="B57" s="16" t="n"/>
      <c r="C57" s="9">
        <f>IFERROR(INDEX(Produits!$A:$A,MATCH($B57,Produits!$B:$B,0)),"")</f>
        <v/>
      </c>
      <c r="D57" s="16" t="n"/>
      <c r="E57" s="16" t="n"/>
      <c r="F57" s="20">
        <f>IF($A57="","",COUNT($A$5:A57))</f>
        <v/>
      </c>
    </row>
    <row r="58">
      <c r="A58" s="16" t="n"/>
      <c r="B58" s="16" t="n"/>
      <c r="C58" s="9">
        <f>IFERROR(INDEX(Produits!$A:$A,MATCH($B58,Produits!$B:$B,0)),"")</f>
        <v/>
      </c>
      <c r="D58" s="16" t="n"/>
      <c r="E58" s="16" t="n"/>
      <c r="F58" s="20">
        <f>IF($A58="","",COUNT($A$5:A58))</f>
        <v/>
      </c>
    </row>
    <row r="59">
      <c r="A59" s="16" t="n"/>
      <c r="B59" s="16" t="n"/>
      <c r="C59" s="9">
        <f>IFERROR(INDEX(Produits!$A:$A,MATCH($B59,Produits!$B:$B,0)),"")</f>
        <v/>
      </c>
      <c r="D59" s="16" t="n"/>
      <c r="E59" s="16" t="n"/>
      <c r="F59" s="20">
        <f>IF($A59="","",COUNT($A$5:A59))</f>
        <v/>
      </c>
    </row>
    <row r="60">
      <c r="A60" s="16" t="n"/>
      <c r="B60" s="16" t="n"/>
      <c r="C60" s="9">
        <f>IFERROR(INDEX(Produits!$A:$A,MATCH($B60,Produits!$B:$B,0)),"")</f>
        <v/>
      </c>
      <c r="D60" s="16" t="n"/>
      <c r="E60" s="16" t="n"/>
      <c r="F60" s="20">
        <f>IF($A60="","",COUNT($A$5:A60))</f>
        <v/>
      </c>
    </row>
    <row r="61">
      <c r="A61" s="16" t="n"/>
      <c r="B61" s="16" t="n"/>
      <c r="C61" s="9">
        <f>IFERROR(INDEX(Produits!$A:$A,MATCH($B61,Produits!$B:$B,0)),"")</f>
        <v/>
      </c>
      <c r="D61" s="16" t="n"/>
      <c r="E61" s="16" t="n"/>
      <c r="F61" s="20">
        <f>IF($A61="","",COUNT($A$5:A61))</f>
        <v/>
      </c>
    </row>
    <row r="62">
      <c r="A62" s="16" t="n"/>
      <c r="B62" s="16" t="n"/>
      <c r="C62" s="9">
        <f>IFERROR(INDEX(Produits!$A:$A,MATCH($B62,Produits!$B:$B,0)),"")</f>
        <v/>
      </c>
      <c r="D62" s="16" t="n"/>
      <c r="E62" s="16" t="n"/>
      <c r="F62" s="20">
        <f>IF($A62="","",COUNT($A$5:A62))</f>
        <v/>
      </c>
    </row>
    <row r="63">
      <c r="A63" s="16" t="n"/>
      <c r="B63" s="16" t="n"/>
      <c r="C63" s="9">
        <f>IFERROR(INDEX(Produits!$A:$A,MATCH($B63,Produits!$B:$B,0)),"")</f>
        <v/>
      </c>
      <c r="D63" s="16" t="n"/>
      <c r="E63" s="16" t="n"/>
      <c r="F63" s="20">
        <f>IF($A63="","",COUNT($A$5:A63))</f>
        <v/>
      </c>
    </row>
    <row r="64">
      <c r="A64" s="16" t="n"/>
      <c r="B64" s="16" t="n"/>
      <c r="C64" s="9">
        <f>IFERROR(INDEX(Produits!$A:$A,MATCH($B64,Produits!$B:$B,0)),"")</f>
        <v/>
      </c>
      <c r="D64" s="16" t="n"/>
      <c r="E64" s="16" t="n"/>
      <c r="F64" s="20">
        <f>IF($A64="","",COUNT($A$5:A64))</f>
        <v/>
      </c>
    </row>
    <row r="65">
      <c r="A65" s="16" t="n"/>
      <c r="B65" s="16" t="n"/>
      <c r="C65" s="9">
        <f>IFERROR(INDEX(Produits!$A:$A,MATCH($B65,Produits!$B:$B,0)),"")</f>
        <v/>
      </c>
      <c r="D65" s="16" t="n"/>
      <c r="E65" s="16" t="n"/>
      <c r="F65" s="20">
        <f>IF($A65="","",COUNT($A$5:A65))</f>
        <v/>
      </c>
    </row>
    <row r="66">
      <c r="A66" s="16" t="n"/>
      <c r="B66" s="16" t="n"/>
      <c r="C66" s="9">
        <f>IFERROR(INDEX(Produits!$A:$A,MATCH($B66,Produits!$B:$B,0)),"")</f>
        <v/>
      </c>
      <c r="D66" s="16" t="n"/>
      <c r="E66" s="16" t="n"/>
      <c r="F66" s="20">
        <f>IF($A66="","",COUNT($A$5:A66))</f>
        <v/>
      </c>
    </row>
    <row r="67">
      <c r="A67" s="16" t="n"/>
      <c r="B67" s="16" t="n"/>
      <c r="C67" s="9">
        <f>IFERROR(INDEX(Produits!$A:$A,MATCH($B67,Produits!$B:$B,0)),"")</f>
        <v/>
      </c>
      <c r="D67" s="16" t="n"/>
      <c r="E67" s="16" t="n"/>
      <c r="F67" s="20">
        <f>IF($A67="","",COUNT($A$5:A67))</f>
        <v/>
      </c>
    </row>
    <row r="68">
      <c r="A68" s="16" t="n"/>
      <c r="B68" s="16" t="n"/>
      <c r="C68" s="9">
        <f>IFERROR(INDEX(Produits!$A:$A,MATCH($B68,Produits!$B:$B,0)),"")</f>
        <v/>
      </c>
      <c r="D68" s="16" t="n"/>
      <c r="E68" s="16" t="n"/>
      <c r="F68" s="20">
        <f>IF($A68="","",COUNT($A$5:A68))</f>
        <v/>
      </c>
    </row>
    <row r="69">
      <c r="A69" s="16" t="n"/>
      <c r="B69" s="16" t="n"/>
      <c r="C69" s="9">
        <f>IFERROR(INDEX(Produits!$A:$A,MATCH($B69,Produits!$B:$B,0)),"")</f>
        <v/>
      </c>
      <c r="D69" s="16" t="n"/>
      <c r="E69" s="16" t="n"/>
      <c r="F69" s="20">
        <f>IF($A69="","",COUNT($A$5:A69))</f>
        <v/>
      </c>
    </row>
    <row r="70">
      <c r="A70" s="16" t="n"/>
      <c r="B70" s="16" t="n"/>
      <c r="C70" s="9">
        <f>IFERROR(INDEX(Produits!$A:$A,MATCH($B70,Produits!$B:$B,0)),"")</f>
        <v/>
      </c>
      <c r="D70" s="16" t="n"/>
      <c r="E70" s="16" t="n"/>
      <c r="F70" s="20">
        <f>IF($A70="","",COUNT($A$5:A70))</f>
        <v/>
      </c>
    </row>
    <row r="71">
      <c r="A71" s="16" t="n"/>
      <c r="B71" s="16" t="n"/>
      <c r="C71" s="9">
        <f>IFERROR(INDEX(Produits!$A:$A,MATCH($B71,Produits!$B:$B,0)),"")</f>
        <v/>
      </c>
      <c r="D71" s="16" t="n"/>
      <c r="E71" s="16" t="n"/>
      <c r="F71" s="20">
        <f>IF($A71="","",COUNT($A$5:A71))</f>
        <v/>
      </c>
    </row>
    <row r="72">
      <c r="A72" s="16" t="n"/>
      <c r="B72" s="16" t="n"/>
      <c r="C72" s="9">
        <f>IFERROR(INDEX(Produits!$A:$A,MATCH($B72,Produits!$B:$B,0)),"")</f>
        <v/>
      </c>
      <c r="D72" s="16" t="n"/>
      <c r="E72" s="16" t="n"/>
      <c r="F72" s="20">
        <f>IF($A72="","",COUNT($A$5:A72))</f>
        <v/>
      </c>
    </row>
    <row r="73">
      <c r="A73" s="16" t="n"/>
      <c r="B73" s="16" t="n"/>
      <c r="C73" s="9">
        <f>IFERROR(INDEX(Produits!$A:$A,MATCH($B73,Produits!$B:$B,0)),"")</f>
        <v/>
      </c>
      <c r="D73" s="16" t="n"/>
      <c r="E73" s="16" t="n"/>
      <c r="F73" s="20">
        <f>IF($A73="","",COUNT($A$5:A73))</f>
        <v/>
      </c>
    </row>
    <row r="74">
      <c r="A74" s="16" t="n"/>
      <c r="B74" s="16" t="n"/>
      <c r="C74" s="9">
        <f>IFERROR(INDEX(Produits!$A:$A,MATCH($B74,Produits!$B:$B,0)),"")</f>
        <v/>
      </c>
      <c r="D74" s="16" t="n"/>
      <c r="E74" s="16" t="n"/>
      <c r="F74" s="20">
        <f>IF($A74="","",COUNT($A$5:A74))</f>
        <v/>
      </c>
    </row>
    <row r="75">
      <c r="A75" s="16" t="n"/>
      <c r="B75" s="16" t="n"/>
      <c r="C75" s="9">
        <f>IFERROR(INDEX(Produits!$A:$A,MATCH($B75,Produits!$B:$B,0)),"")</f>
        <v/>
      </c>
      <c r="D75" s="16" t="n"/>
      <c r="E75" s="16" t="n"/>
      <c r="F75" s="20">
        <f>IF($A75="","",COUNT($A$5:A75))</f>
        <v/>
      </c>
    </row>
    <row r="76">
      <c r="A76" s="16" t="n"/>
      <c r="B76" s="16" t="n"/>
      <c r="C76" s="9">
        <f>IFERROR(INDEX(Produits!$A:$A,MATCH($B76,Produits!$B:$B,0)),"")</f>
        <v/>
      </c>
      <c r="D76" s="16" t="n"/>
      <c r="E76" s="16" t="n"/>
      <c r="F76" s="20">
        <f>IF($A76="","",COUNT($A$5:A76))</f>
        <v/>
      </c>
    </row>
    <row r="77">
      <c r="A77" s="16" t="n"/>
      <c r="B77" s="16" t="n"/>
      <c r="C77" s="9">
        <f>IFERROR(INDEX(Produits!$A:$A,MATCH($B77,Produits!$B:$B,0)),"")</f>
        <v/>
      </c>
      <c r="D77" s="16" t="n"/>
      <c r="E77" s="16" t="n"/>
      <c r="F77" s="20">
        <f>IF($A77="","",COUNT($A$5:A77))</f>
        <v/>
      </c>
    </row>
    <row r="78">
      <c r="A78" s="16" t="n"/>
      <c r="B78" s="16" t="n"/>
      <c r="C78" s="9">
        <f>IFERROR(INDEX(Produits!$A:$A,MATCH($B78,Produits!$B:$B,0)),"")</f>
        <v/>
      </c>
      <c r="D78" s="16" t="n"/>
      <c r="E78" s="16" t="n"/>
      <c r="F78" s="20">
        <f>IF($A78="","",COUNT($A$5:A78))</f>
        <v/>
      </c>
    </row>
    <row r="79">
      <c r="A79" s="16" t="n"/>
      <c r="B79" s="16" t="n"/>
      <c r="C79" s="9">
        <f>IFERROR(INDEX(Produits!$A:$A,MATCH($B79,Produits!$B:$B,0)),"")</f>
        <v/>
      </c>
      <c r="D79" s="16" t="n"/>
      <c r="E79" s="16" t="n"/>
      <c r="F79" s="20">
        <f>IF($A79="","",COUNT($A$5:A79))</f>
        <v/>
      </c>
    </row>
    <row r="80">
      <c r="A80" s="16" t="n"/>
      <c r="B80" s="16" t="n"/>
      <c r="C80" s="9">
        <f>IFERROR(INDEX(Produits!$A:$A,MATCH($B80,Produits!$B:$B,0)),"")</f>
        <v/>
      </c>
      <c r="D80" s="16" t="n"/>
      <c r="E80" s="16" t="n"/>
      <c r="F80" s="20">
        <f>IF($A80="","",COUNT($A$5:A80))</f>
        <v/>
      </c>
    </row>
    <row r="81">
      <c r="A81" s="16" t="n"/>
      <c r="B81" s="16" t="n"/>
      <c r="C81" s="9">
        <f>IFERROR(INDEX(Produits!$A:$A,MATCH($B81,Produits!$B:$B,0)),"")</f>
        <v/>
      </c>
      <c r="D81" s="16" t="n"/>
      <c r="E81" s="16" t="n"/>
      <c r="F81" s="20">
        <f>IF($A81="","",COUNT($A$5:A81))</f>
        <v/>
      </c>
    </row>
    <row r="82">
      <c r="A82" s="16" t="n"/>
      <c r="B82" s="16" t="n"/>
      <c r="C82" s="9">
        <f>IFERROR(INDEX(Produits!$A:$A,MATCH($B82,Produits!$B:$B,0)),"")</f>
        <v/>
      </c>
      <c r="D82" s="16" t="n"/>
      <c r="E82" s="16" t="n"/>
      <c r="F82" s="20">
        <f>IF($A82="","",COUNT($A$5:A82))</f>
        <v/>
      </c>
    </row>
    <row r="83">
      <c r="A83" s="16" t="n"/>
      <c r="B83" s="16" t="n"/>
      <c r="C83" s="9">
        <f>IFERROR(INDEX(Produits!$A:$A,MATCH($B83,Produits!$B:$B,0)),"")</f>
        <v/>
      </c>
      <c r="D83" s="16" t="n"/>
      <c r="E83" s="16" t="n"/>
      <c r="F83" s="20">
        <f>IF($A83="","",COUNT($A$5:A83))</f>
        <v/>
      </c>
    </row>
    <row r="84">
      <c r="A84" s="16" t="n"/>
      <c r="B84" s="16" t="n"/>
      <c r="C84" s="9">
        <f>IFERROR(INDEX(Produits!$A:$A,MATCH($B84,Produits!$B:$B,0)),"")</f>
        <v/>
      </c>
      <c r="D84" s="16" t="n"/>
      <c r="E84" s="16" t="n"/>
      <c r="F84" s="20">
        <f>IF($A84="","",COUNT($A$5:A84))</f>
        <v/>
      </c>
    </row>
    <row r="85">
      <c r="A85" s="16" t="n"/>
      <c r="B85" s="16" t="n"/>
      <c r="C85" s="9">
        <f>IFERROR(INDEX(Produits!$A:$A,MATCH($B85,Produits!$B:$B,0)),"")</f>
        <v/>
      </c>
      <c r="D85" s="16" t="n"/>
      <c r="E85" s="16" t="n"/>
      <c r="F85" s="20">
        <f>IF($A85="","",COUNT($A$5:A85))</f>
        <v/>
      </c>
    </row>
    <row r="86">
      <c r="A86" s="16" t="n"/>
      <c r="B86" s="16" t="n"/>
      <c r="C86" s="9">
        <f>IFERROR(INDEX(Produits!$A:$A,MATCH($B86,Produits!$B:$B,0)),"")</f>
        <v/>
      </c>
      <c r="D86" s="16" t="n"/>
      <c r="E86" s="16" t="n"/>
      <c r="F86" s="20">
        <f>IF($A86="","",COUNT($A$5:A86))</f>
        <v/>
      </c>
    </row>
    <row r="87">
      <c r="A87" s="16" t="n"/>
      <c r="B87" s="16" t="n"/>
      <c r="C87" s="9">
        <f>IFERROR(INDEX(Produits!$A:$A,MATCH($B87,Produits!$B:$B,0)),"")</f>
        <v/>
      </c>
      <c r="D87" s="16" t="n"/>
      <c r="E87" s="16" t="n"/>
      <c r="F87" s="20">
        <f>IF($A87="","",COUNT($A$5:A87))</f>
        <v/>
      </c>
    </row>
    <row r="88">
      <c r="A88" s="16" t="n"/>
      <c r="B88" s="16" t="n"/>
      <c r="C88" s="9">
        <f>IFERROR(INDEX(Produits!$A:$A,MATCH($B88,Produits!$B:$B,0)),"")</f>
        <v/>
      </c>
      <c r="D88" s="16" t="n"/>
      <c r="E88" s="16" t="n"/>
      <c r="F88" s="20">
        <f>IF($A88="","",COUNT($A$5:A88))</f>
        <v/>
      </c>
    </row>
    <row r="89">
      <c r="A89" s="16" t="n"/>
      <c r="B89" s="16" t="n"/>
      <c r="C89" s="9">
        <f>IFERROR(INDEX(Produits!$A:$A,MATCH($B89,Produits!$B:$B,0)),"")</f>
        <v/>
      </c>
      <c r="D89" s="16" t="n"/>
      <c r="E89" s="16" t="n"/>
      <c r="F89" s="20">
        <f>IF($A89="","",COUNT($A$5:A89))</f>
        <v/>
      </c>
    </row>
    <row r="90">
      <c r="A90" s="16" t="n"/>
      <c r="B90" s="16" t="n"/>
      <c r="C90" s="9">
        <f>IFERROR(INDEX(Produits!$A:$A,MATCH($B90,Produits!$B:$B,0)),"")</f>
        <v/>
      </c>
      <c r="D90" s="16" t="n"/>
      <c r="E90" s="16" t="n"/>
      <c r="F90" s="20">
        <f>IF($A90="","",COUNT($A$5:A90))</f>
        <v/>
      </c>
    </row>
    <row r="91">
      <c r="A91" s="16" t="n"/>
      <c r="B91" s="16" t="n"/>
      <c r="C91" s="9">
        <f>IFERROR(INDEX(Produits!$A:$A,MATCH($B91,Produits!$B:$B,0)),"")</f>
        <v/>
      </c>
      <c r="D91" s="16" t="n"/>
      <c r="E91" s="16" t="n"/>
      <c r="F91" s="20">
        <f>IF($A91="","",COUNT($A$5:A91))</f>
        <v/>
      </c>
    </row>
    <row r="92">
      <c r="A92" s="16" t="n"/>
      <c r="B92" s="16" t="n"/>
      <c r="C92" s="9">
        <f>IFERROR(INDEX(Produits!$A:$A,MATCH($B92,Produits!$B:$B,0)),"")</f>
        <v/>
      </c>
      <c r="D92" s="16" t="n"/>
      <c r="E92" s="16" t="n"/>
      <c r="F92" s="20">
        <f>IF($A92="","",COUNT($A$5:A92))</f>
        <v/>
      </c>
    </row>
    <row r="93">
      <c r="A93" s="16" t="n"/>
      <c r="B93" s="16" t="n"/>
      <c r="C93" s="9">
        <f>IFERROR(INDEX(Produits!$A:$A,MATCH($B93,Produits!$B:$B,0)),"")</f>
        <v/>
      </c>
      <c r="D93" s="16" t="n"/>
      <c r="E93" s="16" t="n"/>
      <c r="F93" s="20">
        <f>IF($A93="","",COUNT($A$5:A93))</f>
        <v/>
      </c>
    </row>
    <row r="94">
      <c r="A94" s="16" t="n"/>
      <c r="B94" s="16" t="n"/>
      <c r="C94" s="9">
        <f>IFERROR(INDEX(Produits!$A:$A,MATCH($B94,Produits!$B:$B,0)),"")</f>
        <v/>
      </c>
      <c r="D94" s="16" t="n"/>
      <c r="E94" s="16" t="n"/>
      <c r="F94" s="20">
        <f>IF($A94="","",COUNT($A$5:A94))</f>
        <v/>
      </c>
    </row>
    <row r="95">
      <c r="A95" s="16" t="n"/>
      <c r="B95" s="16" t="n"/>
      <c r="C95" s="9">
        <f>IFERROR(INDEX(Produits!$A:$A,MATCH($B95,Produits!$B:$B,0)),"")</f>
        <v/>
      </c>
      <c r="D95" s="16" t="n"/>
      <c r="E95" s="16" t="n"/>
      <c r="F95" s="20">
        <f>IF($A95="","",COUNT($A$5:A95))</f>
        <v/>
      </c>
    </row>
    <row r="96">
      <c r="A96" s="16" t="n"/>
      <c r="B96" s="16" t="n"/>
      <c r="C96" s="9">
        <f>IFERROR(INDEX(Produits!$A:$A,MATCH($B96,Produits!$B:$B,0)),"")</f>
        <v/>
      </c>
      <c r="D96" s="16" t="n"/>
      <c r="E96" s="16" t="n"/>
      <c r="F96" s="20">
        <f>IF($A96="","",COUNT($A$5:A96))</f>
        <v/>
      </c>
    </row>
    <row r="97">
      <c r="A97" s="16" t="n"/>
      <c r="B97" s="16" t="n"/>
      <c r="C97" s="9">
        <f>IFERROR(INDEX(Produits!$A:$A,MATCH($B97,Produits!$B:$B,0)),"")</f>
        <v/>
      </c>
      <c r="D97" s="16" t="n"/>
      <c r="E97" s="16" t="n"/>
      <c r="F97" s="20">
        <f>IF($A97="","",COUNT($A$5:A97))</f>
        <v/>
      </c>
    </row>
    <row r="98">
      <c r="A98" s="16" t="n"/>
      <c r="B98" s="16" t="n"/>
      <c r="C98" s="9">
        <f>IFERROR(INDEX(Produits!$A:$A,MATCH($B98,Produits!$B:$B,0)),"")</f>
        <v/>
      </c>
      <c r="D98" s="16" t="n"/>
      <c r="E98" s="16" t="n"/>
      <c r="F98" s="20">
        <f>IF($A98="","",COUNT($A$5:A98))</f>
        <v/>
      </c>
    </row>
    <row r="99">
      <c r="A99" s="16" t="n"/>
      <c r="B99" s="16" t="n"/>
      <c r="C99" s="9">
        <f>IFERROR(INDEX(Produits!$A:$A,MATCH($B99,Produits!$B:$B,0)),"")</f>
        <v/>
      </c>
      <c r="D99" s="16" t="n"/>
      <c r="E99" s="16" t="n"/>
      <c r="F99" s="20">
        <f>IF($A99="","",COUNT($A$5:A99))</f>
        <v/>
      </c>
    </row>
    <row r="100">
      <c r="A100" s="16" t="n"/>
      <c r="B100" s="16" t="n"/>
      <c r="C100" s="9">
        <f>IFERROR(INDEX(Produits!$A:$A,MATCH($B100,Produits!$B:$B,0)),"")</f>
        <v/>
      </c>
      <c r="D100" s="16" t="n"/>
      <c r="E100" s="16" t="n"/>
      <c r="F100" s="20">
        <f>IF($A100="","",COUNT($A$5:A100))</f>
        <v/>
      </c>
    </row>
    <row r="101">
      <c r="A101" s="16" t="n"/>
      <c r="B101" s="16" t="n"/>
      <c r="C101" s="9">
        <f>IFERROR(INDEX(Produits!$A:$A,MATCH($B101,Produits!$B:$B,0)),"")</f>
        <v/>
      </c>
      <c r="D101" s="16" t="n"/>
      <c r="E101" s="16" t="n"/>
      <c r="F101" s="20">
        <f>IF($A101="","",COUNT($A$5:A101))</f>
        <v/>
      </c>
    </row>
    <row r="102">
      <c r="A102" s="16" t="n"/>
      <c r="B102" s="16" t="n"/>
      <c r="C102" s="9">
        <f>IFERROR(INDEX(Produits!$A:$A,MATCH($B102,Produits!$B:$B,0)),"")</f>
        <v/>
      </c>
      <c r="D102" s="16" t="n"/>
      <c r="E102" s="16" t="n"/>
      <c r="F102" s="20">
        <f>IF($A102="","",COUNT($A$5:A102))</f>
        <v/>
      </c>
    </row>
    <row r="103">
      <c r="A103" s="16" t="n"/>
      <c r="B103" s="16" t="n"/>
      <c r="C103" s="9">
        <f>IFERROR(INDEX(Produits!$A:$A,MATCH($B103,Produits!$B:$B,0)),"")</f>
        <v/>
      </c>
      <c r="D103" s="16" t="n"/>
      <c r="E103" s="16" t="n"/>
      <c r="F103" s="20">
        <f>IF($A103="","",COUNT($A$5:A103))</f>
        <v/>
      </c>
    </row>
    <row r="104">
      <c r="A104" s="16" t="n"/>
      <c r="B104" s="16" t="n"/>
      <c r="C104" s="9">
        <f>IFERROR(INDEX(Produits!$A:$A,MATCH($B104,Produits!$B:$B,0)),"")</f>
        <v/>
      </c>
      <c r="D104" s="16" t="n"/>
      <c r="E104" s="16" t="n"/>
      <c r="F104" s="20">
        <f>IF($A104="","",COUNT($A$5:A104))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dataValidations count="2">
    <dataValidation sqref="B5:B104" showDropDown="0" showInputMessage="0" showErrorMessage="0" allowBlank="1" type="list">
      <formula1>=ListeProduits</formula1>
    </dataValidation>
    <dataValidation sqref="E5:E104" showDropDown="0" showInputMessage="0" showErrorMessage="0" allowBlank="1" type="list">
      <formula1>=ListeFournisseurs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0" customWidth="1" min="4" max="4"/>
    <col width="25" customWidth="1" min="5" max="5"/>
    <col width="14" customWidth="1" min="6" max="6"/>
    <col width="14" customWidth="1" min="7" max="7"/>
    <col width="8" customWidth="1" min="8" max="8"/>
    <col width="16" customWidth="1" min="9" max="9"/>
  </cols>
  <sheetData>
    <row r="1">
      <c r="A1" s="13" t="n"/>
      <c r="B1" s="13" t="n"/>
      <c r="D1" s="13" t="n"/>
      <c r="E1" s="13" t="n"/>
    </row>
    <row r="2">
      <c r="A2" s="14" t="inlineStr">
        <is>
          <t>Saisie : Date, Produit, Quantité, Client.</t>
        </is>
      </c>
      <c r="B2" s="13" t="n"/>
      <c r="D2" s="13" t="n"/>
      <c r="E2" s="13" t="n"/>
    </row>
    <row r="3">
      <c r="A3" s="13" t="n"/>
      <c r="B3" s="13" t="n"/>
      <c r="D3" s="13" t="n"/>
      <c r="E3" s="13" t="n"/>
    </row>
    <row r="4">
      <c r="A4" s="15" t="inlineStr">
        <is>
          <t>Date</t>
        </is>
      </c>
      <c r="B4" s="15" t="inlineStr">
        <is>
          <t>Produit</t>
        </is>
      </c>
      <c r="C4" s="8" t="inlineStr">
        <is>
          <t>SKU (auto)</t>
        </is>
      </c>
      <c r="D4" s="15" t="inlineStr">
        <is>
          <t>Quantité</t>
        </is>
      </c>
      <c r="E4" s="15" t="inlineStr">
        <is>
          <t>Client</t>
        </is>
      </c>
      <c r="F4" s="8" t="inlineStr">
        <is>
          <t>CA</t>
        </is>
      </c>
      <c r="G4" s="8" t="inlineStr">
        <is>
          <t>Bénéfice</t>
        </is>
      </c>
      <c r="H4" s="21" t="inlineStr">
        <is>
          <t>Rang</t>
        </is>
      </c>
      <c r="I4" s="21" t="inlineStr">
        <is>
          <t>Clé jour</t>
        </is>
      </c>
    </row>
    <row r="5">
      <c r="A5" s="22" t="n">
        <v>46252</v>
      </c>
      <c r="B5" s="16" t="inlineStr">
        <is>
          <t>Dell — Latitude 5420 i5/16Go/512Go</t>
        </is>
      </c>
      <c r="C5" s="9">
        <f>IFERROR(INDEX(Produits!$A:$A,MATCH($B5,Produits!$B:$B,0)),"")</f>
        <v/>
      </c>
      <c r="D5" s="16" t="n">
        <v>2</v>
      </c>
      <c r="E5" s="16" t="inlineStr">
        <is>
          <t>Entreprise Mboa SARL</t>
        </is>
      </c>
      <c r="F5" s="11">
        <f>IFERROR(VLOOKUP($C5,Produits!$A$5:$D$104,4,0)*D5,0)</f>
        <v/>
      </c>
      <c r="G5" s="11">
        <f>IFERROR((VLOOKUP($C5,Produits!$A$5:$D$104,4,0)-VLOOKUP($C5,Produits!$A$5:$C$104,3,0))*D5,0)</f>
        <v/>
      </c>
      <c r="H5" s="20">
        <f>IF($A5="","",COUNT($A$5:A5))</f>
        <v/>
      </c>
      <c r="I5" s="20">
        <f>IF($A5="","",TEXT($A5,"YYYY-MM-DD")&amp;"-"&amp;COUNTIF($A$5:$A5,$A5))</f>
        <v/>
      </c>
    </row>
    <row r="6">
      <c r="A6" s="22" t="n">
        <v>46270</v>
      </c>
      <c r="B6" s="16" t="inlineStr">
        <is>
          <t>Dell — P2422H 24 pouces Full HD</t>
        </is>
      </c>
      <c r="C6" s="9">
        <f>IFERROR(INDEX(Produits!$A:$A,MATCH($B6,Produits!$B:$B,0)),"")</f>
        <v/>
      </c>
      <c r="D6" s="16" t="n">
        <v>3</v>
      </c>
      <c r="E6" s="16" t="inlineStr">
        <is>
          <t>Cabinet Horizon</t>
        </is>
      </c>
      <c r="F6" s="11">
        <f>IFERROR(VLOOKUP($C6,Produits!$A$5:$D$104,4,0)*D6,0)</f>
        <v/>
      </c>
      <c r="G6" s="11">
        <f>IFERROR((VLOOKUP($C6,Produits!$A$5:$D$104,4,0)-VLOOKUP($C6,Produits!$A$5:$C$104,3,0))*D6,0)</f>
        <v/>
      </c>
      <c r="H6" s="20">
        <f>IF($A6="","",COUNT($A$5:A6))</f>
        <v/>
      </c>
      <c r="I6" s="20">
        <f>IF($A6="","",TEXT($A6,"YYYY-MM-DD")&amp;"-"&amp;COUNTIF($A$5:$A6,$A6))</f>
        <v/>
      </c>
    </row>
    <row r="7">
      <c r="A7" s="22" t="n">
        <v>46274</v>
      </c>
      <c r="B7" s="16" t="inlineStr">
        <is>
          <t>HP — EliteBook 840 G8 i5/16Go/512Go</t>
        </is>
      </c>
      <c r="C7" s="9">
        <f>IFERROR(INDEX(Produits!$A:$A,MATCH($B7,Produits!$B:$B,0)),"")</f>
        <v/>
      </c>
      <c r="D7" s="16" t="n">
        <v>2</v>
      </c>
      <c r="E7" s="16" t="inlineStr">
        <is>
          <t>Entreprise Mboa SARL</t>
        </is>
      </c>
      <c r="F7" s="11">
        <f>IFERROR(VLOOKUP($C7,Produits!$A$5:$D$104,4,0)*D7,0)</f>
        <v/>
      </c>
      <c r="G7" s="11">
        <f>IFERROR((VLOOKUP($C7,Produits!$A$5:$D$104,4,0)-VLOOKUP($C7,Produits!$A$5:$C$104,3,0))*D7,0)</f>
        <v/>
      </c>
      <c r="H7" s="20">
        <f>IF($A7="","",COUNT($A$5:A7))</f>
        <v/>
      </c>
      <c r="I7" s="20">
        <f>IF($A7="","",TEXT($A7,"YYYY-MM-DD")&amp;"-"&amp;COUNTIF($A$5:$A7,$A7))</f>
        <v/>
      </c>
    </row>
    <row r="8">
      <c r="A8" s="22" t="n">
        <v>46280</v>
      </c>
      <c r="B8" s="16" t="inlineStr">
        <is>
          <t>Apple — MacBook Air M1 8Go/256Go</t>
        </is>
      </c>
      <c r="C8" s="9">
        <f>IFERROR(INDEX(Produits!$A:$A,MATCH($B8,Produits!$B:$B,0)),"")</f>
        <v/>
      </c>
      <c r="D8" s="16" t="n">
        <v>1</v>
      </c>
      <c r="E8" s="16" t="inlineStr">
        <is>
          <t>Client comptoir</t>
        </is>
      </c>
      <c r="F8" s="11">
        <f>IFERROR(VLOOKUP($C8,Produits!$A$5:$D$104,4,0)*D8,0)</f>
        <v/>
      </c>
      <c r="G8" s="11">
        <f>IFERROR((VLOOKUP($C8,Produits!$A$5:$D$104,4,0)-VLOOKUP($C8,Produits!$A$5:$C$104,3,0))*D8,0)</f>
        <v/>
      </c>
      <c r="H8" s="20">
        <f>IF($A8="","",COUNT($A$5:A8))</f>
        <v/>
      </c>
      <c r="I8" s="20">
        <f>IF($A8="","",TEXT($A8,"YYYY-MM-DD")&amp;"-"&amp;COUNTIF($A$5:$A8,$A8))</f>
        <v/>
      </c>
    </row>
    <row r="9">
      <c r="A9" s="22" t="n">
        <v>46285</v>
      </c>
      <c r="B9" s="16" t="inlineStr">
        <is>
          <t>Dell — Latitude 7430 i7/16Go/512Go</t>
        </is>
      </c>
      <c r="C9" s="9">
        <f>IFERROR(INDEX(Produits!$A:$A,MATCH($B9,Produits!$B:$B,0)),"")</f>
        <v/>
      </c>
      <c r="D9" s="16" t="n">
        <v>1</v>
      </c>
      <c r="E9" s="16" t="inlineStr">
        <is>
          <t>École Les Élites</t>
        </is>
      </c>
      <c r="F9" s="11">
        <f>IFERROR(VLOOKUP($C9,Produits!$A$5:$D$104,4,0)*D9,0)</f>
        <v/>
      </c>
      <c r="G9" s="11">
        <f>IFERROR((VLOOKUP($C9,Produits!$A$5:$D$104,4,0)-VLOOKUP($C9,Produits!$A$5:$C$104,3,0))*D9,0)</f>
        <v/>
      </c>
      <c r="H9" s="20">
        <f>IF($A9="","",COUNT($A$5:A9))</f>
        <v/>
      </c>
      <c r="I9" s="20">
        <f>IF($A9="","",TEXT($A9,"YYYY-MM-DD")&amp;"-"&amp;COUNTIF($A$5:$A9,$A9))</f>
        <v/>
      </c>
    </row>
    <row r="10">
      <c r="A10" s="22" t="n">
        <v>46282</v>
      </c>
      <c r="B10" s="16" t="inlineStr">
        <is>
          <t>Dell — Latitude 5420 i5/16Go/512Go</t>
        </is>
      </c>
      <c r="C10" s="9">
        <f>IFERROR(INDEX(Produits!$A:$A,MATCH($B10,Produits!$B:$B,0)),"")</f>
        <v/>
      </c>
      <c r="D10" s="16" t="n">
        <v>1</v>
      </c>
      <c r="E10" s="16" t="inlineStr">
        <is>
          <t>Entreprise Mboa SARL</t>
        </is>
      </c>
      <c r="F10" s="11">
        <f>IFERROR(VLOOKUP($C10,Produits!$A$5:$D$104,4,0)*D10,0)</f>
        <v/>
      </c>
      <c r="G10" s="11">
        <f>IFERROR((VLOOKUP($C10,Produits!$A$5:$D$104,4,0)-VLOOKUP($C10,Produits!$A$5:$C$104,3,0))*D10,0)</f>
        <v/>
      </c>
      <c r="H10" s="20">
        <f>IF($A10="","",COUNT($A$5:A10))</f>
        <v/>
      </c>
      <c r="I10" s="20">
        <f>IF($A10="","",TEXT($A10,"YYYY-MM-DD")&amp;"-"&amp;COUNTIF($A$5:$A10,$A10))</f>
        <v/>
      </c>
    </row>
    <row r="11">
      <c r="A11" s="16" t="n"/>
      <c r="B11" s="16" t="n"/>
      <c r="C11" s="9">
        <f>IFERROR(INDEX(Produits!$A:$A,MATCH($B11,Produits!$B:$B,0)),"")</f>
        <v/>
      </c>
      <c r="D11" s="16" t="n"/>
      <c r="E11" s="16" t="n"/>
      <c r="F11" s="11">
        <f>IFERROR(VLOOKUP($C11,Produits!$A$5:$D$104,4,0)*D11,0)</f>
        <v/>
      </c>
      <c r="G11" s="11">
        <f>IFERROR((VLOOKUP($C11,Produits!$A$5:$D$104,4,0)-VLOOKUP($C11,Produits!$A$5:$C$104,3,0))*D11,0)</f>
        <v/>
      </c>
      <c r="H11" s="20">
        <f>IF($A11="","",COUNT($A$5:A11))</f>
        <v/>
      </c>
      <c r="I11" s="20">
        <f>IF($A11="","",TEXT($A11,"YYYY-MM-DD")&amp;"-"&amp;COUNTIF($A$5:$A11,$A11))</f>
        <v/>
      </c>
    </row>
    <row r="12">
      <c r="A12" s="16" t="n"/>
      <c r="B12" s="16" t="n"/>
      <c r="C12" s="9">
        <f>IFERROR(INDEX(Produits!$A:$A,MATCH($B12,Produits!$B:$B,0)),"")</f>
        <v/>
      </c>
      <c r="D12" s="16" t="n"/>
      <c r="E12" s="16" t="n"/>
      <c r="F12" s="11">
        <f>IFERROR(VLOOKUP($C12,Produits!$A$5:$D$104,4,0)*D12,0)</f>
        <v/>
      </c>
      <c r="G12" s="11">
        <f>IFERROR((VLOOKUP($C12,Produits!$A$5:$D$104,4,0)-VLOOKUP($C12,Produits!$A$5:$C$104,3,0))*D12,0)</f>
        <v/>
      </c>
      <c r="H12" s="20">
        <f>IF($A12="","",COUNT($A$5:A12))</f>
        <v/>
      </c>
      <c r="I12" s="20">
        <f>IF($A12="","",TEXT($A12,"YYYY-MM-DD")&amp;"-"&amp;COUNTIF($A$5:$A12,$A12))</f>
        <v/>
      </c>
    </row>
    <row r="13">
      <c r="A13" s="16" t="n"/>
      <c r="B13" s="16" t="n"/>
      <c r="C13" s="9">
        <f>IFERROR(INDEX(Produits!$A:$A,MATCH($B13,Produits!$B:$B,0)),"")</f>
        <v/>
      </c>
      <c r="D13" s="16" t="n"/>
      <c r="E13" s="16" t="n"/>
      <c r="F13" s="11">
        <f>IFERROR(VLOOKUP($C13,Produits!$A$5:$D$104,4,0)*D13,0)</f>
        <v/>
      </c>
      <c r="G13" s="11">
        <f>IFERROR((VLOOKUP($C13,Produits!$A$5:$D$104,4,0)-VLOOKUP($C13,Produits!$A$5:$C$104,3,0))*D13,0)</f>
        <v/>
      </c>
      <c r="H13" s="20">
        <f>IF($A13="","",COUNT($A$5:A13))</f>
        <v/>
      </c>
      <c r="I13" s="20">
        <f>IF($A13="","",TEXT($A13,"YYYY-MM-DD")&amp;"-"&amp;COUNTIF($A$5:$A13,$A13))</f>
        <v/>
      </c>
    </row>
    <row r="14">
      <c r="A14" s="16" t="n"/>
      <c r="B14" s="16" t="n"/>
      <c r="C14" s="9">
        <f>IFERROR(INDEX(Produits!$A:$A,MATCH($B14,Produits!$B:$B,0)),"")</f>
        <v/>
      </c>
      <c r="D14" s="16" t="n"/>
      <c r="E14" s="16" t="n"/>
      <c r="F14" s="11">
        <f>IFERROR(VLOOKUP($C14,Produits!$A$5:$D$104,4,0)*D14,0)</f>
        <v/>
      </c>
      <c r="G14" s="11">
        <f>IFERROR((VLOOKUP($C14,Produits!$A$5:$D$104,4,0)-VLOOKUP($C14,Produits!$A$5:$C$104,3,0))*D14,0)</f>
        <v/>
      </c>
      <c r="H14" s="20">
        <f>IF($A14="","",COUNT($A$5:A14))</f>
        <v/>
      </c>
      <c r="I14" s="20">
        <f>IF($A14="","",TEXT($A14,"YYYY-MM-DD")&amp;"-"&amp;COUNTIF($A$5:$A14,$A14))</f>
        <v/>
      </c>
    </row>
    <row r="15">
      <c r="A15" s="16" t="n"/>
      <c r="B15" s="16" t="n"/>
      <c r="C15" s="9">
        <f>IFERROR(INDEX(Produits!$A:$A,MATCH($B15,Produits!$B:$B,0)),"")</f>
        <v/>
      </c>
      <c r="D15" s="16" t="n"/>
      <c r="E15" s="16" t="n"/>
      <c r="F15" s="11">
        <f>IFERROR(VLOOKUP($C15,Produits!$A$5:$D$104,4,0)*D15,0)</f>
        <v/>
      </c>
      <c r="G15" s="11">
        <f>IFERROR((VLOOKUP($C15,Produits!$A$5:$D$104,4,0)-VLOOKUP($C15,Produits!$A$5:$C$104,3,0))*D15,0)</f>
        <v/>
      </c>
      <c r="H15" s="20">
        <f>IF($A15="","",COUNT($A$5:A15))</f>
        <v/>
      </c>
      <c r="I15" s="20">
        <f>IF($A15="","",TEXT($A15,"YYYY-MM-DD")&amp;"-"&amp;COUNTIF($A$5:$A15,$A15))</f>
        <v/>
      </c>
    </row>
    <row r="16">
      <c r="A16" s="16" t="n"/>
      <c r="B16" s="16" t="n"/>
      <c r="C16" s="9">
        <f>IFERROR(INDEX(Produits!$A:$A,MATCH($B16,Produits!$B:$B,0)),"")</f>
        <v/>
      </c>
      <c r="D16" s="16" t="n"/>
      <c r="E16" s="16" t="n"/>
      <c r="F16" s="11">
        <f>IFERROR(VLOOKUP($C16,Produits!$A$5:$D$104,4,0)*D16,0)</f>
        <v/>
      </c>
      <c r="G16" s="11">
        <f>IFERROR((VLOOKUP($C16,Produits!$A$5:$D$104,4,0)-VLOOKUP($C16,Produits!$A$5:$C$104,3,0))*D16,0)</f>
        <v/>
      </c>
      <c r="H16" s="20">
        <f>IF($A16="","",COUNT($A$5:A16))</f>
        <v/>
      </c>
      <c r="I16" s="20">
        <f>IF($A16="","",TEXT($A16,"YYYY-MM-DD")&amp;"-"&amp;COUNTIF($A$5:$A16,$A16))</f>
        <v/>
      </c>
    </row>
    <row r="17">
      <c r="A17" s="16" t="n"/>
      <c r="B17" s="16" t="n"/>
      <c r="C17" s="9">
        <f>IFERROR(INDEX(Produits!$A:$A,MATCH($B17,Produits!$B:$B,0)),"")</f>
        <v/>
      </c>
      <c r="D17" s="16" t="n"/>
      <c r="E17" s="16" t="n"/>
      <c r="F17" s="11">
        <f>IFERROR(VLOOKUP($C17,Produits!$A$5:$D$104,4,0)*D17,0)</f>
        <v/>
      </c>
      <c r="G17" s="11">
        <f>IFERROR((VLOOKUP($C17,Produits!$A$5:$D$104,4,0)-VLOOKUP($C17,Produits!$A$5:$C$104,3,0))*D17,0)</f>
        <v/>
      </c>
      <c r="H17" s="20">
        <f>IF($A17="","",COUNT($A$5:A17))</f>
        <v/>
      </c>
      <c r="I17" s="20">
        <f>IF($A17="","",TEXT($A17,"YYYY-MM-DD")&amp;"-"&amp;COUNTIF($A$5:$A17,$A17))</f>
        <v/>
      </c>
    </row>
    <row r="18">
      <c r="A18" s="16" t="n"/>
      <c r="B18" s="16" t="n"/>
      <c r="C18" s="9">
        <f>IFERROR(INDEX(Produits!$A:$A,MATCH($B18,Produits!$B:$B,0)),"")</f>
        <v/>
      </c>
      <c r="D18" s="16" t="n"/>
      <c r="E18" s="16" t="n"/>
      <c r="F18" s="11">
        <f>IFERROR(VLOOKUP($C18,Produits!$A$5:$D$104,4,0)*D18,0)</f>
        <v/>
      </c>
      <c r="G18" s="11">
        <f>IFERROR((VLOOKUP($C18,Produits!$A$5:$D$104,4,0)-VLOOKUP($C18,Produits!$A$5:$C$104,3,0))*D18,0)</f>
        <v/>
      </c>
      <c r="H18" s="20">
        <f>IF($A18="","",COUNT($A$5:A18))</f>
        <v/>
      </c>
      <c r="I18" s="20">
        <f>IF($A18="","",TEXT($A18,"YYYY-MM-DD")&amp;"-"&amp;COUNTIF($A$5:$A18,$A18))</f>
        <v/>
      </c>
    </row>
    <row r="19">
      <c r="A19" s="16" t="n"/>
      <c r="B19" s="16" t="n"/>
      <c r="C19" s="9">
        <f>IFERROR(INDEX(Produits!$A:$A,MATCH($B19,Produits!$B:$B,0)),"")</f>
        <v/>
      </c>
      <c r="D19" s="16" t="n"/>
      <c r="E19" s="16" t="n"/>
      <c r="F19" s="11">
        <f>IFERROR(VLOOKUP($C19,Produits!$A$5:$D$104,4,0)*D19,0)</f>
        <v/>
      </c>
      <c r="G19" s="11">
        <f>IFERROR((VLOOKUP($C19,Produits!$A$5:$D$104,4,0)-VLOOKUP($C19,Produits!$A$5:$C$104,3,0))*D19,0)</f>
        <v/>
      </c>
      <c r="H19" s="20">
        <f>IF($A19="","",COUNT($A$5:A19))</f>
        <v/>
      </c>
      <c r="I19" s="20">
        <f>IF($A19="","",TEXT($A19,"YYYY-MM-DD")&amp;"-"&amp;COUNTIF($A$5:$A19,$A19))</f>
        <v/>
      </c>
    </row>
    <row r="20">
      <c r="A20" s="16" t="n"/>
      <c r="B20" s="16" t="n"/>
      <c r="C20" s="9">
        <f>IFERROR(INDEX(Produits!$A:$A,MATCH($B20,Produits!$B:$B,0)),"")</f>
        <v/>
      </c>
      <c r="D20" s="16" t="n"/>
      <c r="E20" s="16" t="n"/>
      <c r="F20" s="11">
        <f>IFERROR(VLOOKUP($C20,Produits!$A$5:$D$104,4,0)*D20,0)</f>
        <v/>
      </c>
      <c r="G20" s="11">
        <f>IFERROR((VLOOKUP($C20,Produits!$A$5:$D$104,4,0)-VLOOKUP($C20,Produits!$A$5:$C$104,3,0))*D20,0)</f>
        <v/>
      </c>
      <c r="H20" s="20">
        <f>IF($A20="","",COUNT($A$5:A20))</f>
        <v/>
      </c>
      <c r="I20" s="20">
        <f>IF($A20="","",TEXT($A20,"YYYY-MM-DD")&amp;"-"&amp;COUNTIF($A$5:$A20,$A20))</f>
        <v/>
      </c>
    </row>
    <row r="21">
      <c r="A21" s="16" t="n"/>
      <c r="B21" s="16" t="n"/>
      <c r="C21" s="9">
        <f>IFERROR(INDEX(Produits!$A:$A,MATCH($B21,Produits!$B:$B,0)),"")</f>
        <v/>
      </c>
      <c r="D21" s="16" t="n"/>
      <c r="E21" s="16" t="n"/>
      <c r="F21" s="11">
        <f>IFERROR(VLOOKUP($C21,Produits!$A$5:$D$104,4,0)*D21,0)</f>
        <v/>
      </c>
      <c r="G21" s="11">
        <f>IFERROR((VLOOKUP($C21,Produits!$A$5:$D$104,4,0)-VLOOKUP($C21,Produits!$A$5:$C$104,3,0))*D21,0)</f>
        <v/>
      </c>
      <c r="H21" s="20">
        <f>IF($A21="","",COUNT($A$5:A21))</f>
        <v/>
      </c>
      <c r="I21" s="20">
        <f>IF($A21="","",TEXT($A21,"YYYY-MM-DD")&amp;"-"&amp;COUNTIF($A$5:$A21,$A21))</f>
        <v/>
      </c>
    </row>
    <row r="22">
      <c r="A22" s="16" t="n"/>
      <c r="B22" s="16" t="n"/>
      <c r="C22" s="9">
        <f>IFERROR(INDEX(Produits!$A:$A,MATCH($B22,Produits!$B:$B,0)),"")</f>
        <v/>
      </c>
      <c r="D22" s="16" t="n"/>
      <c r="E22" s="16" t="n"/>
      <c r="F22" s="11">
        <f>IFERROR(VLOOKUP($C22,Produits!$A$5:$D$104,4,0)*D22,0)</f>
        <v/>
      </c>
      <c r="G22" s="11">
        <f>IFERROR((VLOOKUP($C22,Produits!$A$5:$D$104,4,0)-VLOOKUP($C22,Produits!$A$5:$C$104,3,0))*D22,0)</f>
        <v/>
      </c>
      <c r="H22" s="20">
        <f>IF($A22="","",COUNT($A$5:A22))</f>
        <v/>
      </c>
      <c r="I22" s="20">
        <f>IF($A22="","",TEXT($A22,"YYYY-MM-DD")&amp;"-"&amp;COUNTIF($A$5:$A22,$A22))</f>
        <v/>
      </c>
    </row>
    <row r="23">
      <c r="A23" s="16" t="n"/>
      <c r="B23" s="16" t="n"/>
      <c r="C23" s="9">
        <f>IFERROR(INDEX(Produits!$A:$A,MATCH($B23,Produits!$B:$B,0)),"")</f>
        <v/>
      </c>
      <c r="D23" s="16" t="n"/>
      <c r="E23" s="16" t="n"/>
      <c r="F23" s="11">
        <f>IFERROR(VLOOKUP($C23,Produits!$A$5:$D$104,4,0)*D23,0)</f>
        <v/>
      </c>
      <c r="G23" s="11">
        <f>IFERROR((VLOOKUP($C23,Produits!$A$5:$D$104,4,0)-VLOOKUP($C23,Produits!$A$5:$C$104,3,0))*D23,0)</f>
        <v/>
      </c>
      <c r="H23" s="20">
        <f>IF($A23="","",COUNT($A$5:A23))</f>
        <v/>
      </c>
      <c r="I23" s="20">
        <f>IF($A23="","",TEXT($A23,"YYYY-MM-DD")&amp;"-"&amp;COUNTIF($A$5:$A23,$A23))</f>
        <v/>
      </c>
    </row>
    <row r="24">
      <c r="A24" s="16" t="n"/>
      <c r="B24" s="16" t="n"/>
      <c r="C24" s="9">
        <f>IFERROR(INDEX(Produits!$A:$A,MATCH($B24,Produits!$B:$B,0)),"")</f>
        <v/>
      </c>
      <c r="D24" s="16" t="n"/>
      <c r="E24" s="16" t="n"/>
      <c r="F24" s="11">
        <f>IFERROR(VLOOKUP($C24,Produits!$A$5:$D$104,4,0)*D24,0)</f>
        <v/>
      </c>
      <c r="G24" s="11">
        <f>IFERROR((VLOOKUP($C24,Produits!$A$5:$D$104,4,0)-VLOOKUP($C24,Produits!$A$5:$C$104,3,0))*D24,0)</f>
        <v/>
      </c>
      <c r="H24" s="20">
        <f>IF($A24="","",COUNT($A$5:A24))</f>
        <v/>
      </c>
      <c r="I24" s="20">
        <f>IF($A24="","",TEXT($A24,"YYYY-MM-DD")&amp;"-"&amp;COUNTIF($A$5:$A24,$A24))</f>
        <v/>
      </c>
    </row>
    <row r="25">
      <c r="A25" s="16" t="n"/>
      <c r="B25" s="16" t="n"/>
      <c r="C25" s="9">
        <f>IFERROR(INDEX(Produits!$A:$A,MATCH($B25,Produits!$B:$B,0)),"")</f>
        <v/>
      </c>
      <c r="D25" s="16" t="n"/>
      <c r="E25" s="16" t="n"/>
      <c r="F25" s="11">
        <f>IFERROR(VLOOKUP($C25,Produits!$A$5:$D$104,4,0)*D25,0)</f>
        <v/>
      </c>
      <c r="G25" s="11">
        <f>IFERROR((VLOOKUP($C25,Produits!$A$5:$D$104,4,0)-VLOOKUP($C25,Produits!$A$5:$C$104,3,0))*D25,0)</f>
        <v/>
      </c>
      <c r="H25" s="20">
        <f>IF($A25="","",COUNT($A$5:A25))</f>
        <v/>
      </c>
      <c r="I25" s="20">
        <f>IF($A25="","",TEXT($A25,"YYYY-MM-DD")&amp;"-"&amp;COUNTIF($A$5:$A25,$A25))</f>
        <v/>
      </c>
    </row>
    <row r="26">
      <c r="A26" s="16" t="n"/>
      <c r="B26" s="16" t="n"/>
      <c r="C26" s="9">
        <f>IFERROR(INDEX(Produits!$A:$A,MATCH($B26,Produits!$B:$B,0)),"")</f>
        <v/>
      </c>
      <c r="D26" s="16" t="n"/>
      <c r="E26" s="16" t="n"/>
      <c r="F26" s="11">
        <f>IFERROR(VLOOKUP($C26,Produits!$A$5:$D$104,4,0)*D26,0)</f>
        <v/>
      </c>
      <c r="G26" s="11">
        <f>IFERROR((VLOOKUP($C26,Produits!$A$5:$D$104,4,0)-VLOOKUP($C26,Produits!$A$5:$C$104,3,0))*D26,0)</f>
        <v/>
      </c>
      <c r="H26" s="20">
        <f>IF($A26="","",COUNT($A$5:A26))</f>
        <v/>
      </c>
      <c r="I26" s="20">
        <f>IF($A26="","",TEXT($A26,"YYYY-MM-DD")&amp;"-"&amp;COUNTIF($A$5:$A26,$A26))</f>
        <v/>
      </c>
    </row>
    <row r="27">
      <c r="A27" s="16" t="n"/>
      <c r="B27" s="16" t="n"/>
      <c r="C27" s="9">
        <f>IFERROR(INDEX(Produits!$A:$A,MATCH($B27,Produits!$B:$B,0)),"")</f>
        <v/>
      </c>
      <c r="D27" s="16" t="n"/>
      <c r="E27" s="16" t="n"/>
      <c r="F27" s="11">
        <f>IFERROR(VLOOKUP($C27,Produits!$A$5:$D$104,4,0)*D27,0)</f>
        <v/>
      </c>
      <c r="G27" s="11">
        <f>IFERROR((VLOOKUP($C27,Produits!$A$5:$D$104,4,0)-VLOOKUP($C27,Produits!$A$5:$C$104,3,0))*D27,0)</f>
        <v/>
      </c>
      <c r="H27" s="20">
        <f>IF($A27="","",COUNT($A$5:A27))</f>
        <v/>
      </c>
      <c r="I27" s="20">
        <f>IF($A27="","",TEXT($A27,"YYYY-MM-DD")&amp;"-"&amp;COUNTIF($A$5:$A27,$A27))</f>
        <v/>
      </c>
    </row>
    <row r="28">
      <c r="A28" s="16" t="n"/>
      <c r="B28" s="16" t="n"/>
      <c r="C28" s="9">
        <f>IFERROR(INDEX(Produits!$A:$A,MATCH($B28,Produits!$B:$B,0)),"")</f>
        <v/>
      </c>
      <c r="D28" s="16" t="n"/>
      <c r="E28" s="16" t="n"/>
      <c r="F28" s="11">
        <f>IFERROR(VLOOKUP($C28,Produits!$A$5:$D$104,4,0)*D28,0)</f>
        <v/>
      </c>
      <c r="G28" s="11">
        <f>IFERROR((VLOOKUP($C28,Produits!$A$5:$D$104,4,0)-VLOOKUP($C28,Produits!$A$5:$C$104,3,0))*D28,0)</f>
        <v/>
      </c>
      <c r="H28" s="20">
        <f>IF($A28="","",COUNT($A$5:A28))</f>
        <v/>
      </c>
      <c r="I28" s="20">
        <f>IF($A28="","",TEXT($A28,"YYYY-MM-DD")&amp;"-"&amp;COUNTIF($A$5:$A28,$A28))</f>
        <v/>
      </c>
    </row>
    <row r="29">
      <c r="A29" s="16" t="n"/>
      <c r="B29" s="16" t="n"/>
      <c r="C29" s="9">
        <f>IFERROR(INDEX(Produits!$A:$A,MATCH($B29,Produits!$B:$B,0)),"")</f>
        <v/>
      </c>
      <c r="D29" s="16" t="n"/>
      <c r="E29" s="16" t="n"/>
      <c r="F29" s="11">
        <f>IFERROR(VLOOKUP($C29,Produits!$A$5:$D$104,4,0)*D29,0)</f>
        <v/>
      </c>
      <c r="G29" s="11">
        <f>IFERROR((VLOOKUP($C29,Produits!$A$5:$D$104,4,0)-VLOOKUP($C29,Produits!$A$5:$C$104,3,0))*D29,0)</f>
        <v/>
      </c>
      <c r="H29" s="20">
        <f>IF($A29="","",COUNT($A$5:A29))</f>
        <v/>
      </c>
      <c r="I29" s="20">
        <f>IF($A29="","",TEXT($A29,"YYYY-MM-DD")&amp;"-"&amp;COUNTIF($A$5:$A29,$A29))</f>
        <v/>
      </c>
    </row>
    <row r="30">
      <c r="A30" s="16" t="n"/>
      <c r="B30" s="16" t="n"/>
      <c r="C30" s="9">
        <f>IFERROR(INDEX(Produits!$A:$A,MATCH($B30,Produits!$B:$B,0)),"")</f>
        <v/>
      </c>
      <c r="D30" s="16" t="n"/>
      <c r="E30" s="16" t="n"/>
      <c r="F30" s="11">
        <f>IFERROR(VLOOKUP($C30,Produits!$A$5:$D$104,4,0)*D30,0)</f>
        <v/>
      </c>
      <c r="G30" s="11">
        <f>IFERROR((VLOOKUP($C30,Produits!$A$5:$D$104,4,0)-VLOOKUP($C30,Produits!$A$5:$C$104,3,0))*D30,0)</f>
        <v/>
      </c>
      <c r="H30" s="20">
        <f>IF($A30="","",COUNT($A$5:A30))</f>
        <v/>
      </c>
      <c r="I30" s="20">
        <f>IF($A30="","",TEXT($A30,"YYYY-MM-DD")&amp;"-"&amp;COUNTIF($A$5:$A30,$A30))</f>
        <v/>
      </c>
    </row>
    <row r="31">
      <c r="A31" s="16" t="n"/>
      <c r="B31" s="16" t="n"/>
      <c r="C31" s="9">
        <f>IFERROR(INDEX(Produits!$A:$A,MATCH($B31,Produits!$B:$B,0)),"")</f>
        <v/>
      </c>
      <c r="D31" s="16" t="n"/>
      <c r="E31" s="16" t="n"/>
      <c r="F31" s="11">
        <f>IFERROR(VLOOKUP($C31,Produits!$A$5:$D$104,4,0)*D31,0)</f>
        <v/>
      </c>
      <c r="G31" s="11">
        <f>IFERROR((VLOOKUP($C31,Produits!$A$5:$D$104,4,0)-VLOOKUP($C31,Produits!$A$5:$C$104,3,0))*D31,0)</f>
        <v/>
      </c>
      <c r="H31" s="20">
        <f>IF($A31="","",COUNT($A$5:A31))</f>
        <v/>
      </c>
      <c r="I31" s="20">
        <f>IF($A31="","",TEXT($A31,"YYYY-MM-DD")&amp;"-"&amp;COUNTIF($A$5:$A31,$A31))</f>
        <v/>
      </c>
    </row>
    <row r="32">
      <c r="A32" s="16" t="n"/>
      <c r="B32" s="16" t="n"/>
      <c r="C32" s="9">
        <f>IFERROR(INDEX(Produits!$A:$A,MATCH($B32,Produits!$B:$B,0)),"")</f>
        <v/>
      </c>
      <c r="D32" s="16" t="n"/>
      <c r="E32" s="16" t="n"/>
      <c r="F32" s="11">
        <f>IFERROR(VLOOKUP($C32,Produits!$A$5:$D$104,4,0)*D32,0)</f>
        <v/>
      </c>
      <c r="G32" s="11">
        <f>IFERROR((VLOOKUP($C32,Produits!$A$5:$D$104,4,0)-VLOOKUP($C32,Produits!$A$5:$C$104,3,0))*D32,0)</f>
        <v/>
      </c>
      <c r="H32" s="20">
        <f>IF($A32="","",COUNT($A$5:A32))</f>
        <v/>
      </c>
      <c r="I32" s="20">
        <f>IF($A32="","",TEXT($A32,"YYYY-MM-DD")&amp;"-"&amp;COUNTIF($A$5:$A32,$A32))</f>
        <v/>
      </c>
    </row>
    <row r="33">
      <c r="A33" s="16" t="n"/>
      <c r="B33" s="16" t="n"/>
      <c r="C33" s="9">
        <f>IFERROR(INDEX(Produits!$A:$A,MATCH($B33,Produits!$B:$B,0)),"")</f>
        <v/>
      </c>
      <c r="D33" s="16" t="n"/>
      <c r="E33" s="16" t="n"/>
      <c r="F33" s="11">
        <f>IFERROR(VLOOKUP($C33,Produits!$A$5:$D$104,4,0)*D33,0)</f>
        <v/>
      </c>
      <c r="G33" s="11">
        <f>IFERROR((VLOOKUP($C33,Produits!$A$5:$D$104,4,0)-VLOOKUP($C33,Produits!$A$5:$C$104,3,0))*D33,0)</f>
        <v/>
      </c>
      <c r="H33" s="20">
        <f>IF($A33="","",COUNT($A$5:A33))</f>
        <v/>
      </c>
      <c r="I33" s="20">
        <f>IF($A33="","",TEXT($A33,"YYYY-MM-DD")&amp;"-"&amp;COUNTIF($A$5:$A33,$A33))</f>
        <v/>
      </c>
    </row>
    <row r="34">
      <c r="A34" s="16" t="n"/>
      <c r="B34" s="16" t="n"/>
      <c r="C34" s="9">
        <f>IFERROR(INDEX(Produits!$A:$A,MATCH($B34,Produits!$B:$B,0)),"")</f>
        <v/>
      </c>
      <c r="D34" s="16" t="n"/>
      <c r="E34" s="16" t="n"/>
      <c r="F34" s="11">
        <f>IFERROR(VLOOKUP($C34,Produits!$A$5:$D$104,4,0)*D34,0)</f>
        <v/>
      </c>
      <c r="G34" s="11">
        <f>IFERROR((VLOOKUP($C34,Produits!$A$5:$D$104,4,0)-VLOOKUP($C34,Produits!$A$5:$C$104,3,0))*D34,0)</f>
        <v/>
      </c>
      <c r="H34" s="20">
        <f>IF($A34="","",COUNT($A$5:A34))</f>
        <v/>
      </c>
      <c r="I34" s="20">
        <f>IF($A34="","",TEXT($A34,"YYYY-MM-DD")&amp;"-"&amp;COUNTIF($A$5:$A34,$A34))</f>
        <v/>
      </c>
    </row>
    <row r="35">
      <c r="A35" s="16" t="n"/>
      <c r="B35" s="16" t="n"/>
      <c r="C35" s="9">
        <f>IFERROR(INDEX(Produits!$A:$A,MATCH($B35,Produits!$B:$B,0)),"")</f>
        <v/>
      </c>
      <c r="D35" s="16" t="n"/>
      <c r="E35" s="16" t="n"/>
      <c r="F35" s="11">
        <f>IFERROR(VLOOKUP($C35,Produits!$A$5:$D$104,4,0)*D35,0)</f>
        <v/>
      </c>
      <c r="G35" s="11">
        <f>IFERROR((VLOOKUP($C35,Produits!$A$5:$D$104,4,0)-VLOOKUP($C35,Produits!$A$5:$C$104,3,0))*D35,0)</f>
        <v/>
      </c>
      <c r="H35" s="20">
        <f>IF($A35="","",COUNT($A$5:A35))</f>
        <v/>
      </c>
      <c r="I35" s="20">
        <f>IF($A35="","",TEXT($A35,"YYYY-MM-DD")&amp;"-"&amp;COUNTIF($A$5:$A35,$A35))</f>
        <v/>
      </c>
    </row>
    <row r="36">
      <c r="A36" s="16" t="n"/>
      <c r="B36" s="16" t="n"/>
      <c r="C36" s="9">
        <f>IFERROR(INDEX(Produits!$A:$A,MATCH($B36,Produits!$B:$B,0)),"")</f>
        <v/>
      </c>
      <c r="D36" s="16" t="n"/>
      <c r="E36" s="16" t="n"/>
      <c r="F36" s="11">
        <f>IFERROR(VLOOKUP($C36,Produits!$A$5:$D$104,4,0)*D36,0)</f>
        <v/>
      </c>
      <c r="G36" s="11">
        <f>IFERROR((VLOOKUP($C36,Produits!$A$5:$D$104,4,0)-VLOOKUP($C36,Produits!$A$5:$C$104,3,0))*D36,0)</f>
        <v/>
      </c>
      <c r="H36" s="20">
        <f>IF($A36="","",COUNT($A$5:A36))</f>
        <v/>
      </c>
      <c r="I36" s="20">
        <f>IF($A36="","",TEXT($A36,"YYYY-MM-DD")&amp;"-"&amp;COUNTIF($A$5:$A36,$A36))</f>
        <v/>
      </c>
    </row>
    <row r="37">
      <c r="A37" s="16" t="n"/>
      <c r="B37" s="16" t="n"/>
      <c r="C37" s="9">
        <f>IFERROR(INDEX(Produits!$A:$A,MATCH($B37,Produits!$B:$B,0)),"")</f>
        <v/>
      </c>
      <c r="D37" s="16" t="n"/>
      <c r="E37" s="16" t="n"/>
      <c r="F37" s="11">
        <f>IFERROR(VLOOKUP($C37,Produits!$A$5:$D$104,4,0)*D37,0)</f>
        <v/>
      </c>
      <c r="G37" s="11">
        <f>IFERROR((VLOOKUP($C37,Produits!$A$5:$D$104,4,0)-VLOOKUP($C37,Produits!$A$5:$C$104,3,0))*D37,0)</f>
        <v/>
      </c>
      <c r="H37" s="20">
        <f>IF($A37="","",COUNT($A$5:A37))</f>
        <v/>
      </c>
      <c r="I37" s="20">
        <f>IF($A37="","",TEXT($A37,"YYYY-MM-DD")&amp;"-"&amp;COUNTIF($A$5:$A37,$A37))</f>
        <v/>
      </c>
    </row>
    <row r="38">
      <c r="A38" s="16" t="n"/>
      <c r="B38" s="16" t="n"/>
      <c r="C38" s="9">
        <f>IFERROR(INDEX(Produits!$A:$A,MATCH($B38,Produits!$B:$B,0)),"")</f>
        <v/>
      </c>
      <c r="D38" s="16" t="n"/>
      <c r="E38" s="16" t="n"/>
      <c r="F38" s="11">
        <f>IFERROR(VLOOKUP($C38,Produits!$A$5:$D$104,4,0)*D38,0)</f>
        <v/>
      </c>
      <c r="G38" s="11">
        <f>IFERROR((VLOOKUP($C38,Produits!$A$5:$D$104,4,0)-VLOOKUP($C38,Produits!$A$5:$C$104,3,0))*D38,0)</f>
        <v/>
      </c>
      <c r="H38" s="20">
        <f>IF($A38="","",COUNT($A$5:A38))</f>
        <v/>
      </c>
      <c r="I38" s="20">
        <f>IF($A38="","",TEXT($A38,"YYYY-MM-DD")&amp;"-"&amp;COUNTIF($A$5:$A38,$A38))</f>
        <v/>
      </c>
    </row>
    <row r="39">
      <c r="A39" s="16" t="n"/>
      <c r="B39" s="16" t="n"/>
      <c r="C39" s="9">
        <f>IFERROR(INDEX(Produits!$A:$A,MATCH($B39,Produits!$B:$B,0)),"")</f>
        <v/>
      </c>
      <c r="D39" s="16" t="n"/>
      <c r="E39" s="16" t="n"/>
      <c r="F39" s="11">
        <f>IFERROR(VLOOKUP($C39,Produits!$A$5:$D$104,4,0)*D39,0)</f>
        <v/>
      </c>
      <c r="G39" s="11">
        <f>IFERROR((VLOOKUP($C39,Produits!$A$5:$D$104,4,0)-VLOOKUP($C39,Produits!$A$5:$C$104,3,0))*D39,0)</f>
        <v/>
      </c>
      <c r="H39" s="20">
        <f>IF($A39="","",COUNT($A$5:A39))</f>
        <v/>
      </c>
      <c r="I39" s="20">
        <f>IF($A39="","",TEXT($A39,"YYYY-MM-DD")&amp;"-"&amp;COUNTIF($A$5:$A39,$A39))</f>
        <v/>
      </c>
    </row>
    <row r="40">
      <c r="A40" s="16" t="n"/>
      <c r="B40" s="16" t="n"/>
      <c r="C40" s="9">
        <f>IFERROR(INDEX(Produits!$A:$A,MATCH($B40,Produits!$B:$B,0)),"")</f>
        <v/>
      </c>
      <c r="D40" s="16" t="n"/>
      <c r="E40" s="16" t="n"/>
      <c r="F40" s="11">
        <f>IFERROR(VLOOKUP($C40,Produits!$A$5:$D$104,4,0)*D40,0)</f>
        <v/>
      </c>
      <c r="G40" s="11">
        <f>IFERROR((VLOOKUP($C40,Produits!$A$5:$D$104,4,0)-VLOOKUP($C40,Produits!$A$5:$C$104,3,0))*D40,0)</f>
        <v/>
      </c>
      <c r="H40" s="20">
        <f>IF($A40="","",COUNT($A$5:A40))</f>
        <v/>
      </c>
      <c r="I40" s="20">
        <f>IF($A40="","",TEXT($A40,"YYYY-MM-DD")&amp;"-"&amp;COUNTIF($A$5:$A40,$A40))</f>
        <v/>
      </c>
    </row>
    <row r="41">
      <c r="A41" s="16" t="n"/>
      <c r="B41" s="16" t="n"/>
      <c r="C41" s="9">
        <f>IFERROR(INDEX(Produits!$A:$A,MATCH($B41,Produits!$B:$B,0)),"")</f>
        <v/>
      </c>
      <c r="D41" s="16" t="n"/>
      <c r="E41" s="16" t="n"/>
      <c r="F41" s="11">
        <f>IFERROR(VLOOKUP($C41,Produits!$A$5:$D$104,4,0)*D41,0)</f>
        <v/>
      </c>
      <c r="G41" s="11">
        <f>IFERROR((VLOOKUP($C41,Produits!$A$5:$D$104,4,0)-VLOOKUP($C41,Produits!$A$5:$C$104,3,0))*D41,0)</f>
        <v/>
      </c>
      <c r="H41" s="20">
        <f>IF($A41="","",COUNT($A$5:A41))</f>
        <v/>
      </c>
      <c r="I41" s="20">
        <f>IF($A41="","",TEXT($A41,"YYYY-MM-DD")&amp;"-"&amp;COUNTIF($A$5:$A41,$A41))</f>
        <v/>
      </c>
    </row>
    <row r="42">
      <c r="A42" s="16" t="n"/>
      <c r="B42" s="16" t="n"/>
      <c r="C42" s="9">
        <f>IFERROR(INDEX(Produits!$A:$A,MATCH($B42,Produits!$B:$B,0)),"")</f>
        <v/>
      </c>
      <c r="D42" s="16" t="n"/>
      <c r="E42" s="16" t="n"/>
      <c r="F42" s="11">
        <f>IFERROR(VLOOKUP($C42,Produits!$A$5:$D$104,4,0)*D42,0)</f>
        <v/>
      </c>
      <c r="G42" s="11">
        <f>IFERROR((VLOOKUP($C42,Produits!$A$5:$D$104,4,0)-VLOOKUP($C42,Produits!$A$5:$C$104,3,0))*D42,0)</f>
        <v/>
      </c>
      <c r="H42" s="20">
        <f>IF($A42="","",COUNT($A$5:A42))</f>
        <v/>
      </c>
      <c r="I42" s="20">
        <f>IF($A42="","",TEXT($A42,"YYYY-MM-DD")&amp;"-"&amp;COUNTIF($A$5:$A42,$A42))</f>
        <v/>
      </c>
    </row>
    <row r="43">
      <c r="A43" s="16" t="n"/>
      <c r="B43" s="16" t="n"/>
      <c r="C43" s="9">
        <f>IFERROR(INDEX(Produits!$A:$A,MATCH($B43,Produits!$B:$B,0)),"")</f>
        <v/>
      </c>
      <c r="D43" s="16" t="n"/>
      <c r="E43" s="16" t="n"/>
      <c r="F43" s="11">
        <f>IFERROR(VLOOKUP($C43,Produits!$A$5:$D$104,4,0)*D43,0)</f>
        <v/>
      </c>
      <c r="G43" s="11">
        <f>IFERROR((VLOOKUP($C43,Produits!$A$5:$D$104,4,0)-VLOOKUP($C43,Produits!$A$5:$C$104,3,0))*D43,0)</f>
        <v/>
      </c>
      <c r="H43" s="20">
        <f>IF($A43="","",COUNT($A$5:A43))</f>
        <v/>
      </c>
      <c r="I43" s="20">
        <f>IF($A43="","",TEXT($A43,"YYYY-MM-DD")&amp;"-"&amp;COUNTIF($A$5:$A43,$A43))</f>
        <v/>
      </c>
    </row>
    <row r="44">
      <c r="A44" s="16" t="n"/>
      <c r="B44" s="16" t="n"/>
      <c r="C44" s="9">
        <f>IFERROR(INDEX(Produits!$A:$A,MATCH($B44,Produits!$B:$B,0)),"")</f>
        <v/>
      </c>
      <c r="D44" s="16" t="n"/>
      <c r="E44" s="16" t="n"/>
      <c r="F44" s="11">
        <f>IFERROR(VLOOKUP($C44,Produits!$A$5:$D$104,4,0)*D44,0)</f>
        <v/>
      </c>
      <c r="G44" s="11">
        <f>IFERROR((VLOOKUP($C44,Produits!$A$5:$D$104,4,0)-VLOOKUP($C44,Produits!$A$5:$C$104,3,0))*D44,0)</f>
        <v/>
      </c>
      <c r="H44" s="20">
        <f>IF($A44="","",COUNT($A$5:A44))</f>
        <v/>
      </c>
      <c r="I44" s="20">
        <f>IF($A44="","",TEXT($A44,"YYYY-MM-DD")&amp;"-"&amp;COUNTIF($A$5:$A44,$A44))</f>
        <v/>
      </c>
    </row>
    <row r="45">
      <c r="A45" s="16" t="n"/>
      <c r="B45" s="16" t="n"/>
      <c r="C45" s="9">
        <f>IFERROR(INDEX(Produits!$A:$A,MATCH($B45,Produits!$B:$B,0)),"")</f>
        <v/>
      </c>
      <c r="D45" s="16" t="n"/>
      <c r="E45" s="16" t="n"/>
      <c r="F45" s="11">
        <f>IFERROR(VLOOKUP($C45,Produits!$A$5:$D$104,4,0)*D45,0)</f>
        <v/>
      </c>
      <c r="G45" s="11">
        <f>IFERROR((VLOOKUP($C45,Produits!$A$5:$D$104,4,0)-VLOOKUP($C45,Produits!$A$5:$C$104,3,0))*D45,0)</f>
        <v/>
      </c>
      <c r="H45" s="20">
        <f>IF($A45="","",COUNT($A$5:A45))</f>
        <v/>
      </c>
      <c r="I45" s="20">
        <f>IF($A45="","",TEXT($A45,"YYYY-MM-DD")&amp;"-"&amp;COUNTIF($A$5:$A45,$A45))</f>
        <v/>
      </c>
    </row>
    <row r="46">
      <c r="A46" s="16" t="n"/>
      <c r="B46" s="16" t="n"/>
      <c r="C46" s="9">
        <f>IFERROR(INDEX(Produits!$A:$A,MATCH($B46,Produits!$B:$B,0)),"")</f>
        <v/>
      </c>
      <c r="D46" s="16" t="n"/>
      <c r="E46" s="16" t="n"/>
      <c r="F46" s="11">
        <f>IFERROR(VLOOKUP($C46,Produits!$A$5:$D$104,4,0)*D46,0)</f>
        <v/>
      </c>
      <c r="G46" s="11">
        <f>IFERROR((VLOOKUP($C46,Produits!$A$5:$D$104,4,0)-VLOOKUP($C46,Produits!$A$5:$C$104,3,0))*D46,0)</f>
        <v/>
      </c>
      <c r="H46" s="20">
        <f>IF($A46="","",COUNT($A$5:A46))</f>
        <v/>
      </c>
      <c r="I46" s="20">
        <f>IF($A46="","",TEXT($A46,"YYYY-MM-DD")&amp;"-"&amp;COUNTIF($A$5:$A46,$A46))</f>
        <v/>
      </c>
    </row>
    <row r="47">
      <c r="A47" s="16" t="n"/>
      <c r="B47" s="16" t="n"/>
      <c r="C47" s="9">
        <f>IFERROR(INDEX(Produits!$A:$A,MATCH($B47,Produits!$B:$B,0)),"")</f>
        <v/>
      </c>
      <c r="D47" s="16" t="n"/>
      <c r="E47" s="16" t="n"/>
      <c r="F47" s="11">
        <f>IFERROR(VLOOKUP($C47,Produits!$A$5:$D$104,4,0)*D47,0)</f>
        <v/>
      </c>
      <c r="G47" s="11">
        <f>IFERROR((VLOOKUP($C47,Produits!$A$5:$D$104,4,0)-VLOOKUP($C47,Produits!$A$5:$C$104,3,0))*D47,0)</f>
        <v/>
      </c>
      <c r="H47" s="20">
        <f>IF($A47="","",COUNT($A$5:A47))</f>
        <v/>
      </c>
      <c r="I47" s="20">
        <f>IF($A47="","",TEXT($A47,"YYYY-MM-DD")&amp;"-"&amp;COUNTIF($A$5:$A47,$A47))</f>
        <v/>
      </c>
    </row>
    <row r="48">
      <c r="A48" s="16" t="n"/>
      <c r="B48" s="16" t="n"/>
      <c r="C48" s="9">
        <f>IFERROR(INDEX(Produits!$A:$A,MATCH($B48,Produits!$B:$B,0)),"")</f>
        <v/>
      </c>
      <c r="D48" s="16" t="n"/>
      <c r="E48" s="16" t="n"/>
      <c r="F48" s="11">
        <f>IFERROR(VLOOKUP($C48,Produits!$A$5:$D$104,4,0)*D48,0)</f>
        <v/>
      </c>
      <c r="G48" s="11">
        <f>IFERROR((VLOOKUP($C48,Produits!$A$5:$D$104,4,0)-VLOOKUP($C48,Produits!$A$5:$C$104,3,0))*D48,0)</f>
        <v/>
      </c>
      <c r="H48" s="20">
        <f>IF($A48="","",COUNT($A$5:A48))</f>
        <v/>
      </c>
      <c r="I48" s="20">
        <f>IF($A48="","",TEXT($A48,"YYYY-MM-DD")&amp;"-"&amp;COUNTIF($A$5:$A48,$A48))</f>
        <v/>
      </c>
    </row>
    <row r="49">
      <c r="A49" s="16" t="n"/>
      <c r="B49" s="16" t="n"/>
      <c r="C49" s="9">
        <f>IFERROR(INDEX(Produits!$A:$A,MATCH($B49,Produits!$B:$B,0)),"")</f>
        <v/>
      </c>
      <c r="D49" s="16" t="n"/>
      <c r="E49" s="16" t="n"/>
      <c r="F49" s="11">
        <f>IFERROR(VLOOKUP($C49,Produits!$A$5:$D$104,4,0)*D49,0)</f>
        <v/>
      </c>
      <c r="G49" s="11">
        <f>IFERROR((VLOOKUP($C49,Produits!$A$5:$D$104,4,0)-VLOOKUP($C49,Produits!$A$5:$C$104,3,0))*D49,0)</f>
        <v/>
      </c>
      <c r="H49" s="20">
        <f>IF($A49="","",COUNT($A$5:A49))</f>
        <v/>
      </c>
      <c r="I49" s="20">
        <f>IF($A49="","",TEXT($A49,"YYYY-MM-DD")&amp;"-"&amp;COUNTIF($A$5:$A49,$A49))</f>
        <v/>
      </c>
    </row>
    <row r="50">
      <c r="A50" s="16" t="n"/>
      <c r="B50" s="16" t="n"/>
      <c r="C50" s="9">
        <f>IFERROR(INDEX(Produits!$A:$A,MATCH($B50,Produits!$B:$B,0)),"")</f>
        <v/>
      </c>
      <c r="D50" s="16" t="n"/>
      <c r="E50" s="16" t="n"/>
      <c r="F50" s="11">
        <f>IFERROR(VLOOKUP($C50,Produits!$A$5:$D$104,4,0)*D50,0)</f>
        <v/>
      </c>
      <c r="G50" s="11">
        <f>IFERROR((VLOOKUP($C50,Produits!$A$5:$D$104,4,0)-VLOOKUP($C50,Produits!$A$5:$C$104,3,0))*D50,0)</f>
        <v/>
      </c>
      <c r="H50" s="20">
        <f>IF($A50="","",COUNT($A$5:A50))</f>
        <v/>
      </c>
      <c r="I50" s="20">
        <f>IF($A50="","",TEXT($A50,"YYYY-MM-DD")&amp;"-"&amp;COUNTIF($A$5:$A50,$A50))</f>
        <v/>
      </c>
    </row>
    <row r="51">
      <c r="A51" s="16" t="n"/>
      <c r="B51" s="16" t="n"/>
      <c r="C51" s="9">
        <f>IFERROR(INDEX(Produits!$A:$A,MATCH($B51,Produits!$B:$B,0)),"")</f>
        <v/>
      </c>
      <c r="D51" s="16" t="n"/>
      <c r="E51" s="16" t="n"/>
      <c r="F51" s="11">
        <f>IFERROR(VLOOKUP($C51,Produits!$A$5:$D$104,4,0)*D51,0)</f>
        <v/>
      </c>
      <c r="G51" s="11">
        <f>IFERROR((VLOOKUP($C51,Produits!$A$5:$D$104,4,0)-VLOOKUP($C51,Produits!$A$5:$C$104,3,0))*D51,0)</f>
        <v/>
      </c>
      <c r="H51" s="20">
        <f>IF($A51="","",COUNT($A$5:A51))</f>
        <v/>
      </c>
      <c r="I51" s="20">
        <f>IF($A51="","",TEXT($A51,"YYYY-MM-DD")&amp;"-"&amp;COUNTIF($A$5:$A51,$A51))</f>
        <v/>
      </c>
    </row>
    <row r="52">
      <c r="A52" s="16" t="n"/>
      <c r="B52" s="16" t="n"/>
      <c r="C52" s="9">
        <f>IFERROR(INDEX(Produits!$A:$A,MATCH($B52,Produits!$B:$B,0)),"")</f>
        <v/>
      </c>
      <c r="D52" s="16" t="n"/>
      <c r="E52" s="16" t="n"/>
      <c r="F52" s="11">
        <f>IFERROR(VLOOKUP($C52,Produits!$A$5:$D$104,4,0)*D52,0)</f>
        <v/>
      </c>
      <c r="G52" s="11">
        <f>IFERROR((VLOOKUP($C52,Produits!$A$5:$D$104,4,0)-VLOOKUP($C52,Produits!$A$5:$C$104,3,0))*D52,0)</f>
        <v/>
      </c>
      <c r="H52" s="20">
        <f>IF($A52="","",COUNT($A$5:A52))</f>
        <v/>
      </c>
      <c r="I52" s="20">
        <f>IF($A52="","",TEXT($A52,"YYYY-MM-DD")&amp;"-"&amp;COUNTIF($A$5:$A52,$A52))</f>
        <v/>
      </c>
    </row>
    <row r="53">
      <c r="A53" s="16" t="n"/>
      <c r="B53" s="16" t="n"/>
      <c r="C53" s="9">
        <f>IFERROR(INDEX(Produits!$A:$A,MATCH($B53,Produits!$B:$B,0)),"")</f>
        <v/>
      </c>
      <c r="D53" s="16" t="n"/>
      <c r="E53" s="16" t="n"/>
      <c r="F53" s="11">
        <f>IFERROR(VLOOKUP($C53,Produits!$A$5:$D$104,4,0)*D53,0)</f>
        <v/>
      </c>
      <c r="G53" s="11">
        <f>IFERROR((VLOOKUP($C53,Produits!$A$5:$D$104,4,0)-VLOOKUP($C53,Produits!$A$5:$C$104,3,0))*D53,0)</f>
        <v/>
      </c>
      <c r="H53" s="20">
        <f>IF($A53="","",COUNT($A$5:A53))</f>
        <v/>
      </c>
      <c r="I53" s="20">
        <f>IF($A53="","",TEXT($A53,"YYYY-MM-DD")&amp;"-"&amp;COUNTIF($A$5:$A53,$A53))</f>
        <v/>
      </c>
    </row>
    <row r="54">
      <c r="A54" s="16" t="n"/>
      <c r="B54" s="16" t="n"/>
      <c r="C54" s="9">
        <f>IFERROR(INDEX(Produits!$A:$A,MATCH($B54,Produits!$B:$B,0)),"")</f>
        <v/>
      </c>
      <c r="D54" s="16" t="n"/>
      <c r="E54" s="16" t="n"/>
      <c r="F54" s="11">
        <f>IFERROR(VLOOKUP($C54,Produits!$A$5:$D$104,4,0)*D54,0)</f>
        <v/>
      </c>
      <c r="G54" s="11">
        <f>IFERROR((VLOOKUP($C54,Produits!$A$5:$D$104,4,0)-VLOOKUP($C54,Produits!$A$5:$C$104,3,0))*D54,0)</f>
        <v/>
      </c>
      <c r="H54" s="20">
        <f>IF($A54="","",COUNT($A$5:A54))</f>
        <v/>
      </c>
      <c r="I54" s="20">
        <f>IF($A54="","",TEXT($A54,"YYYY-MM-DD")&amp;"-"&amp;COUNTIF($A$5:$A54,$A54))</f>
        <v/>
      </c>
    </row>
    <row r="55">
      <c r="A55" s="16" t="n"/>
      <c r="B55" s="16" t="n"/>
      <c r="C55" s="9">
        <f>IFERROR(INDEX(Produits!$A:$A,MATCH($B55,Produits!$B:$B,0)),"")</f>
        <v/>
      </c>
      <c r="D55" s="16" t="n"/>
      <c r="E55" s="16" t="n"/>
      <c r="F55" s="11">
        <f>IFERROR(VLOOKUP($C55,Produits!$A$5:$D$104,4,0)*D55,0)</f>
        <v/>
      </c>
      <c r="G55" s="11">
        <f>IFERROR((VLOOKUP($C55,Produits!$A$5:$D$104,4,0)-VLOOKUP($C55,Produits!$A$5:$C$104,3,0))*D55,0)</f>
        <v/>
      </c>
      <c r="H55" s="20">
        <f>IF($A55="","",COUNT($A$5:A55))</f>
        <v/>
      </c>
      <c r="I55" s="20">
        <f>IF($A55="","",TEXT($A55,"YYYY-MM-DD")&amp;"-"&amp;COUNTIF($A$5:$A55,$A55))</f>
        <v/>
      </c>
    </row>
    <row r="56">
      <c r="A56" s="16" t="n"/>
      <c r="B56" s="16" t="n"/>
      <c r="C56" s="9">
        <f>IFERROR(INDEX(Produits!$A:$A,MATCH($B56,Produits!$B:$B,0)),"")</f>
        <v/>
      </c>
      <c r="D56" s="16" t="n"/>
      <c r="E56" s="16" t="n"/>
      <c r="F56" s="11">
        <f>IFERROR(VLOOKUP($C56,Produits!$A$5:$D$104,4,0)*D56,0)</f>
        <v/>
      </c>
      <c r="G56" s="11">
        <f>IFERROR((VLOOKUP($C56,Produits!$A$5:$D$104,4,0)-VLOOKUP($C56,Produits!$A$5:$C$104,3,0))*D56,0)</f>
        <v/>
      </c>
      <c r="H56" s="20">
        <f>IF($A56="","",COUNT($A$5:A56))</f>
        <v/>
      </c>
      <c r="I56" s="20">
        <f>IF($A56="","",TEXT($A56,"YYYY-MM-DD")&amp;"-"&amp;COUNTIF($A$5:$A56,$A56))</f>
        <v/>
      </c>
    </row>
    <row r="57">
      <c r="A57" s="16" t="n"/>
      <c r="B57" s="16" t="n"/>
      <c r="C57" s="9">
        <f>IFERROR(INDEX(Produits!$A:$A,MATCH($B57,Produits!$B:$B,0)),"")</f>
        <v/>
      </c>
      <c r="D57" s="16" t="n"/>
      <c r="E57" s="16" t="n"/>
      <c r="F57" s="11">
        <f>IFERROR(VLOOKUP($C57,Produits!$A$5:$D$104,4,0)*D57,0)</f>
        <v/>
      </c>
      <c r="G57" s="11">
        <f>IFERROR((VLOOKUP($C57,Produits!$A$5:$D$104,4,0)-VLOOKUP($C57,Produits!$A$5:$C$104,3,0))*D57,0)</f>
        <v/>
      </c>
      <c r="H57" s="20">
        <f>IF($A57="","",COUNT($A$5:A57))</f>
        <v/>
      </c>
      <c r="I57" s="20">
        <f>IF($A57="","",TEXT($A57,"YYYY-MM-DD")&amp;"-"&amp;COUNTIF($A$5:$A57,$A57))</f>
        <v/>
      </c>
    </row>
    <row r="58">
      <c r="A58" s="16" t="n"/>
      <c r="B58" s="16" t="n"/>
      <c r="C58" s="9">
        <f>IFERROR(INDEX(Produits!$A:$A,MATCH($B58,Produits!$B:$B,0)),"")</f>
        <v/>
      </c>
      <c r="D58" s="16" t="n"/>
      <c r="E58" s="16" t="n"/>
      <c r="F58" s="11">
        <f>IFERROR(VLOOKUP($C58,Produits!$A$5:$D$104,4,0)*D58,0)</f>
        <v/>
      </c>
      <c r="G58" s="11">
        <f>IFERROR((VLOOKUP($C58,Produits!$A$5:$D$104,4,0)-VLOOKUP($C58,Produits!$A$5:$C$104,3,0))*D58,0)</f>
        <v/>
      </c>
      <c r="H58" s="20">
        <f>IF($A58="","",COUNT($A$5:A58))</f>
        <v/>
      </c>
      <c r="I58" s="20">
        <f>IF($A58="","",TEXT($A58,"YYYY-MM-DD")&amp;"-"&amp;COUNTIF($A$5:$A58,$A58))</f>
        <v/>
      </c>
    </row>
    <row r="59">
      <c r="A59" s="16" t="n"/>
      <c r="B59" s="16" t="n"/>
      <c r="C59" s="9">
        <f>IFERROR(INDEX(Produits!$A:$A,MATCH($B59,Produits!$B:$B,0)),"")</f>
        <v/>
      </c>
      <c r="D59" s="16" t="n"/>
      <c r="E59" s="16" t="n"/>
      <c r="F59" s="11">
        <f>IFERROR(VLOOKUP($C59,Produits!$A$5:$D$104,4,0)*D59,0)</f>
        <v/>
      </c>
      <c r="G59" s="11">
        <f>IFERROR((VLOOKUP($C59,Produits!$A$5:$D$104,4,0)-VLOOKUP($C59,Produits!$A$5:$C$104,3,0))*D59,0)</f>
        <v/>
      </c>
      <c r="H59" s="20">
        <f>IF($A59="","",COUNT($A$5:A59))</f>
        <v/>
      </c>
      <c r="I59" s="20">
        <f>IF($A59="","",TEXT($A59,"YYYY-MM-DD")&amp;"-"&amp;COUNTIF($A$5:$A59,$A59))</f>
        <v/>
      </c>
    </row>
    <row r="60">
      <c r="A60" s="16" t="n"/>
      <c r="B60" s="16" t="n"/>
      <c r="C60" s="9">
        <f>IFERROR(INDEX(Produits!$A:$A,MATCH($B60,Produits!$B:$B,0)),"")</f>
        <v/>
      </c>
      <c r="D60" s="16" t="n"/>
      <c r="E60" s="16" t="n"/>
      <c r="F60" s="11">
        <f>IFERROR(VLOOKUP($C60,Produits!$A$5:$D$104,4,0)*D60,0)</f>
        <v/>
      </c>
      <c r="G60" s="11">
        <f>IFERROR((VLOOKUP($C60,Produits!$A$5:$D$104,4,0)-VLOOKUP($C60,Produits!$A$5:$C$104,3,0))*D60,0)</f>
        <v/>
      </c>
      <c r="H60" s="20">
        <f>IF($A60="","",COUNT($A$5:A60))</f>
        <v/>
      </c>
      <c r="I60" s="20">
        <f>IF($A60="","",TEXT($A60,"YYYY-MM-DD")&amp;"-"&amp;COUNTIF($A$5:$A60,$A60))</f>
        <v/>
      </c>
    </row>
    <row r="61">
      <c r="A61" s="16" t="n"/>
      <c r="B61" s="16" t="n"/>
      <c r="C61" s="9">
        <f>IFERROR(INDEX(Produits!$A:$A,MATCH($B61,Produits!$B:$B,0)),"")</f>
        <v/>
      </c>
      <c r="D61" s="16" t="n"/>
      <c r="E61" s="16" t="n"/>
      <c r="F61" s="11">
        <f>IFERROR(VLOOKUP($C61,Produits!$A$5:$D$104,4,0)*D61,0)</f>
        <v/>
      </c>
      <c r="G61" s="11">
        <f>IFERROR((VLOOKUP($C61,Produits!$A$5:$D$104,4,0)-VLOOKUP($C61,Produits!$A$5:$C$104,3,0))*D61,0)</f>
        <v/>
      </c>
      <c r="H61" s="20">
        <f>IF($A61="","",COUNT($A$5:A61))</f>
        <v/>
      </c>
      <c r="I61" s="20">
        <f>IF($A61="","",TEXT($A61,"YYYY-MM-DD")&amp;"-"&amp;COUNTIF($A$5:$A61,$A61))</f>
        <v/>
      </c>
    </row>
    <row r="62">
      <c r="A62" s="16" t="n"/>
      <c r="B62" s="16" t="n"/>
      <c r="C62" s="9">
        <f>IFERROR(INDEX(Produits!$A:$A,MATCH($B62,Produits!$B:$B,0)),"")</f>
        <v/>
      </c>
      <c r="D62" s="16" t="n"/>
      <c r="E62" s="16" t="n"/>
      <c r="F62" s="11">
        <f>IFERROR(VLOOKUP($C62,Produits!$A$5:$D$104,4,0)*D62,0)</f>
        <v/>
      </c>
      <c r="G62" s="11">
        <f>IFERROR((VLOOKUP($C62,Produits!$A$5:$D$104,4,0)-VLOOKUP($C62,Produits!$A$5:$C$104,3,0))*D62,0)</f>
        <v/>
      </c>
      <c r="H62" s="20">
        <f>IF($A62="","",COUNT($A$5:A62))</f>
        <v/>
      </c>
      <c r="I62" s="20">
        <f>IF($A62="","",TEXT($A62,"YYYY-MM-DD")&amp;"-"&amp;COUNTIF($A$5:$A62,$A62))</f>
        <v/>
      </c>
    </row>
    <row r="63">
      <c r="A63" s="16" t="n"/>
      <c r="B63" s="16" t="n"/>
      <c r="C63" s="9">
        <f>IFERROR(INDEX(Produits!$A:$A,MATCH($B63,Produits!$B:$B,0)),"")</f>
        <v/>
      </c>
      <c r="D63" s="16" t="n"/>
      <c r="E63" s="16" t="n"/>
      <c r="F63" s="11">
        <f>IFERROR(VLOOKUP($C63,Produits!$A$5:$D$104,4,0)*D63,0)</f>
        <v/>
      </c>
      <c r="G63" s="11">
        <f>IFERROR((VLOOKUP($C63,Produits!$A$5:$D$104,4,0)-VLOOKUP($C63,Produits!$A$5:$C$104,3,0))*D63,0)</f>
        <v/>
      </c>
      <c r="H63" s="20">
        <f>IF($A63="","",COUNT($A$5:A63))</f>
        <v/>
      </c>
      <c r="I63" s="20">
        <f>IF($A63="","",TEXT($A63,"YYYY-MM-DD")&amp;"-"&amp;COUNTIF($A$5:$A63,$A63))</f>
        <v/>
      </c>
    </row>
    <row r="64">
      <c r="A64" s="16" t="n"/>
      <c r="B64" s="16" t="n"/>
      <c r="C64" s="9">
        <f>IFERROR(INDEX(Produits!$A:$A,MATCH($B64,Produits!$B:$B,0)),"")</f>
        <v/>
      </c>
      <c r="D64" s="16" t="n"/>
      <c r="E64" s="16" t="n"/>
      <c r="F64" s="11">
        <f>IFERROR(VLOOKUP($C64,Produits!$A$5:$D$104,4,0)*D64,0)</f>
        <v/>
      </c>
      <c r="G64" s="11">
        <f>IFERROR((VLOOKUP($C64,Produits!$A$5:$D$104,4,0)-VLOOKUP($C64,Produits!$A$5:$C$104,3,0))*D64,0)</f>
        <v/>
      </c>
      <c r="H64" s="20">
        <f>IF($A64="","",COUNT($A$5:A64))</f>
        <v/>
      </c>
      <c r="I64" s="20">
        <f>IF($A64="","",TEXT($A64,"YYYY-MM-DD")&amp;"-"&amp;COUNTIF($A$5:$A64,$A64))</f>
        <v/>
      </c>
    </row>
    <row r="65">
      <c r="A65" s="16" t="n"/>
      <c r="B65" s="16" t="n"/>
      <c r="C65" s="9">
        <f>IFERROR(INDEX(Produits!$A:$A,MATCH($B65,Produits!$B:$B,0)),"")</f>
        <v/>
      </c>
      <c r="D65" s="16" t="n"/>
      <c r="E65" s="16" t="n"/>
      <c r="F65" s="11">
        <f>IFERROR(VLOOKUP($C65,Produits!$A$5:$D$104,4,0)*D65,0)</f>
        <v/>
      </c>
      <c r="G65" s="11">
        <f>IFERROR((VLOOKUP($C65,Produits!$A$5:$D$104,4,0)-VLOOKUP($C65,Produits!$A$5:$C$104,3,0))*D65,0)</f>
        <v/>
      </c>
      <c r="H65" s="20">
        <f>IF($A65="","",COUNT($A$5:A65))</f>
        <v/>
      </c>
      <c r="I65" s="20">
        <f>IF($A65="","",TEXT($A65,"YYYY-MM-DD")&amp;"-"&amp;COUNTIF($A$5:$A65,$A65))</f>
        <v/>
      </c>
    </row>
    <row r="66">
      <c r="A66" s="16" t="n"/>
      <c r="B66" s="16" t="n"/>
      <c r="C66" s="9">
        <f>IFERROR(INDEX(Produits!$A:$A,MATCH($B66,Produits!$B:$B,0)),"")</f>
        <v/>
      </c>
      <c r="D66" s="16" t="n"/>
      <c r="E66" s="16" t="n"/>
      <c r="F66" s="11">
        <f>IFERROR(VLOOKUP($C66,Produits!$A$5:$D$104,4,0)*D66,0)</f>
        <v/>
      </c>
      <c r="G66" s="11">
        <f>IFERROR((VLOOKUP($C66,Produits!$A$5:$D$104,4,0)-VLOOKUP($C66,Produits!$A$5:$C$104,3,0))*D66,0)</f>
        <v/>
      </c>
      <c r="H66" s="20">
        <f>IF($A66="","",COUNT($A$5:A66))</f>
        <v/>
      </c>
      <c r="I66" s="20">
        <f>IF($A66="","",TEXT($A66,"YYYY-MM-DD")&amp;"-"&amp;COUNTIF($A$5:$A66,$A66))</f>
        <v/>
      </c>
    </row>
    <row r="67">
      <c r="A67" s="16" t="n"/>
      <c r="B67" s="16" t="n"/>
      <c r="C67" s="9">
        <f>IFERROR(INDEX(Produits!$A:$A,MATCH($B67,Produits!$B:$B,0)),"")</f>
        <v/>
      </c>
      <c r="D67" s="16" t="n"/>
      <c r="E67" s="16" t="n"/>
      <c r="F67" s="11">
        <f>IFERROR(VLOOKUP($C67,Produits!$A$5:$D$104,4,0)*D67,0)</f>
        <v/>
      </c>
      <c r="G67" s="11">
        <f>IFERROR((VLOOKUP($C67,Produits!$A$5:$D$104,4,0)-VLOOKUP($C67,Produits!$A$5:$C$104,3,0))*D67,0)</f>
        <v/>
      </c>
      <c r="H67" s="20">
        <f>IF($A67="","",COUNT($A$5:A67))</f>
        <v/>
      </c>
      <c r="I67" s="20">
        <f>IF($A67="","",TEXT($A67,"YYYY-MM-DD")&amp;"-"&amp;COUNTIF($A$5:$A67,$A67))</f>
        <v/>
      </c>
    </row>
    <row r="68">
      <c r="A68" s="16" t="n"/>
      <c r="B68" s="16" t="n"/>
      <c r="C68" s="9">
        <f>IFERROR(INDEX(Produits!$A:$A,MATCH($B68,Produits!$B:$B,0)),"")</f>
        <v/>
      </c>
      <c r="D68" s="16" t="n"/>
      <c r="E68" s="16" t="n"/>
      <c r="F68" s="11">
        <f>IFERROR(VLOOKUP($C68,Produits!$A$5:$D$104,4,0)*D68,0)</f>
        <v/>
      </c>
      <c r="G68" s="11">
        <f>IFERROR((VLOOKUP($C68,Produits!$A$5:$D$104,4,0)-VLOOKUP($C68,Produits!$A$5:$C$104,3,0))*D68,0)</f>
        <v/>
      </c>
      <c r="H68" s="20">
        <f>IF($A68="","",COUNT($A$5:A68))</f>
        <v/>
      </c>
      <c r="I68" s="20">
        <f>IF($A68="","",TEXT($A68,"YYYY-MM-DD")&amp;"-"&amp;COUNTIF($A$5:$A68,$A68))</f>
        <v/>
      </c>
    </row>
    <row r="69">
      <c r="A69" s="16" t="n"/>
      <c r="B69" s="16" t="n"/>
      <c r="C69" s="9">
        <f>IFERROR(INDEX(Produits!$A:$A,MATCH($B69,Produits!$B:$B,0)),"")</f>
        <v/>
      </c>
      <c r="D69" s="16" t="n"/>
      <c r="E69" s="16" t="n"/>
      <c r="F69" s="11">
        <f>IFERROR(VLOOKUP($C69,Produits!$A$5:$D$104,4,0)*D69,0)</f>
        <v/>
      </c>
      <c r="G69" s="11">
        <f>IFERROR((VLOOKUP($C69,Produits!$A$5:$D$104,4,0)-VLOOKUP($C69,Produits!$A$5:$C$104,3,0))*D69,0)</f>
        <v/>
      </c>
      <c r="H69" s="20">
        <f>IF($A69="","",COUNT($A$5:A69))</f>
        <v/>
      </c>
      <c r="I69" s="20">
        <f>IF($A69="","",TEXT($A69,"YYYY-MM-DD")&amp;"-"&amp;COUNTIF($A$5:$A69,$A69))</f>
        <v/>
      </c>
    </row>
    <row r="70">
      <c r="A70" s="16" t="n"/>
      <c r="B70" s="16" t="n"/>
      <c r="C70" s="9">
        <f>IFERROR(INDEX(Produits!$A:$A,MATCH($B70,Produits!$B:$B,0)),"")</f>
        <v/>
      </c>
      <c r="D70" s="16" t="n"/>
      <c r="E70" s="16" t="n"/>
      <c r="F70" s="11">
        <f>IFERROR(VLOOKUP($C70,Produits!$A$5:$D$104,4,0)*D70,0)</f>
        <v/>
      </c>
      <c r="G70" s="11">
        <f>IFERROR((VLOOKUP($C70,Produits!$A$5:$D$104,4,0)-VLOOKUP($C70,Produits!$A$5:$C$104,3,0))*D70,0)</f>
        <v/>
      </c>
      <c r="H70" s="20">
        <f>IF($A70="","",COUNT($A$5:A70))</f>
        <v/>
      </c>
      <c r="I70" s="20">
        <f>IF($A70="","",TEXT($A70,"YYYY-MM-DD")&amp;"-"&amp;COUNTIF($A$5:$A70,$A70))</f>
        <v/>
      </c>
    </row>
    <row r="71">
      <c r="A71" s="16" t="n"/>
      <c r="B71" s="16" t="n"/>
      <c r="C71" s="9">
        <f>IFERROR(INDEX(Produits!$A:$A,MATCH($B71,Produits!$B:$B,0)),"")</f>
        <v/>
      </c>
      <c r="D71" s="16" t="n"/>
      <c r="E71" s="16" t="n"/>
      <c r="F71" s="11">
        <f>IFERROR(VLOOKUP($C71,Produits!$A$5:$D$104,4,0)*D71,0)</f>
        <v/>
      </c>
      <c r="G71" s="11">
        <f>IFERROR((VLOOKUP($C71,Produits!$A$5:$D$104,4,0)-VLOOKUP($C71,Produits!$A$5:$C$104,3,0))*D71,0)</f>
        <v/>
      </c>
      <c r="H71" s="20">
        <f>IF($A71="","",COUNT($A$5:A71))</f>
        <v/>
      </c>
      <c r="I71" s="20">
        <f>IF($A71="","",TEXT($A71,"YYYY-MM-DD")&amp;"-"&amp;COUNTIF($A$5:$A71,$A71))</f>
        <v/>
      </c>
    </row>
    <row r="72">
      <c r="A72" s="16" t="n"/>
      <c r="B72" s="16" t="n"/>
      <c r="C72" s="9">
        <f>IFERROR(INDEX(Produits!$A:$A,MATCH($B72,Produits!$B:$B,0)),"")</f>
        <v/>
      </c>
      <c r="D72" s="16" t="n"/>
      <c r="E72" s="16" t="n"/>
      <c r="F72" s="11">
        <f>IFERROR(VLOOKUP($C72,Produits!$A$5:$D$104,4,0)*D72,0)</f>
        <v/>
      </c>
      <c r="G72" s="11">
        <f>IFERROR((VLOOKUP($C72,Produits!$A$5:$D$104,4,0)-VLOOKUP($C72,Produits!$A$5:$C$104,3,0))*D72,0)</f>
        <v/>
      </c>
      <c r="H72" s="20">
        <f>IF($A72="","",COUNT($A$5:A72))</f>
        <v/>
      </c>
      <c r="I72" s="20">
        <f>IF($A72="","",TEXT($A72,"YYYY-MM-DD")&amp;"-"&amp;COUNTIF($A$5:$A72,$A72))</f>
        <v/>
      </c>
    </row>
    <row r="73">
      <c r="A73" s="16" t="n"/>
      <c r="B73" s="16" t="n"/>
      <c r="C73" s="9">
        <f>IFERROR(INDEX(Produits!$A:$A,MATCH($B73,Produits!$B:$B,0)),"")</f>
        <v/>
      </c>
      <c r="D73" s="16" t="n"/>
      <c r="E73" s="16" t="n"/>
      <c r="F73" s="11">
        <f>IFERROR(VLOOKUP($C73,Produits!$A$5:$D$104,4,0)*D73,0)</f>
        <v/>
      </c>
      <c r="G73" s="11">
        <f>IFERROR((VLOOKUP($C73,Produits!$A$5:$D$104,4,0)-VLOOKUP($C73,Produits!$A$5:$C$104,3,0))*D73,0)</f>
        <v/>
      </c>
      <c r="H73" s="20">
        <f>IF($A73="","",COUNT($A$5:A73))</f>
        <v/>
      </c>
      <c r="I73" s="20">
        <f>IF($A73="","",TEXT($A73,"YYYY-MM-DD")&amp;"-"&amp;COUNTIF($A$5:$A73,$A73))</f>
        <v/>
      </c>
    </row>
    <row r="74">
      <c r="A74" s="16" t="n"/>
      <c r="B74" s="16" t="n"/>
      <c r="C74" s="9">
        <f>IFERROR(INDEX(Produits!$A:$A,MATCH($B74,Produits!$B:$B,0)),"")</f>
        <v/>
      </c>
      <c r="D74" s="16" t="n"/>
      <c r="E74" s="16" t="n"/>
      <c r="F74" s="11">
        <f>IFERROR(VLOOKUP($C74,Produits!$A$5:$D$104,4,0)*D74,0)</f>
        <v/>
      </c>
      <c r="G74" s="11">
        <f>IFERROR((VLOOKUP($C74,Produits!$A$5:$D$104,4,0)-VLOOKUP($C74,Produits!$A$5:$C$104,3,0))*D74,0)</f>
        <v/>
      </c>
      <c r="H74" s="20">
        <f>IF($A74="","",COUNT($A$5:A74))</f>
        <v/>
      </c>
      <c r="I74" s="20">
        <f>IF($A74="","",TEXT($A74,"YYYY-MM-DD")&amp;"-"&amp;COUNTIF($A$5:$A74,$A74))</f>
        <v/>
      </c>
    </row>
    <row r="75">
      <c r="A75" s="16" t="n"/>
      <c r="B75" s="16" t="n"/>
      <c r="C75" s="9">
        <f>IFERROR(INDEX(Produits!$A:$A,MATCH($B75,Produits!$B:$B,0)),"")</f>
        <v/>
      </c>
      <c r="D75" s="16" t="n"/>
      <c r="E75" s="16" t="n"/>
      <c r="F75" s="11">
        <f>IFERROR(VLOOKUP($C75,Produits!$A$5:$D$104,4,0)*D75,0)</f>
        <v/>
      </c>
      <c r="G75" s="11">
        <f>IFERROR((VLOOKUP($C75,Produits!$A$5:$D$104,4,0)-VLOOKUP($C75,Produits!$A$5:$C$104,3,0))*D75,0)</f>
        <v/>
      </c>
      <c r="H75" s="20">
        <f>IF($A75="","",COUNT($A$5:A75))</f>
        <v/>
      </c>
      <c r="I75" s="20">
        <f>IF($A75="","",TEXT($A75,"YYYY-MM-DD")&amp;"-"&amp;COUNTIF($A$5:$A75,$A75))</f>
        <v/>
      </c>
    </row>
    <row r="76">
      <c r="A76" s="16" t="n"/>
      <c r="B76" s="16" t="n"/>
      <c r="C76" s="9">
        <f>IFERROR(INDEX(Produits!$A:$A,MATCH($B76,Produits!$B:$B,0)),"")</f>
        <v/>
      </c>
      <c r="D76" s="16" t="n"/>
      <c r="E76" s="16" t="n"/>
      <c r="F76" s="11">
        <f>IFERROR(VLOOKUP($C76,Produits!$A$5:$D$104,4,0)*D76,0)</f>
        <v/>
      </c>
      <c r="G76" s="11">
        <f>IFERROR((VLOOKUP($C76,Produits!$A$5:$D$104,4,0)-VLOOKUP($C76,Produits!$A$5:$C$104,3,0))*D76,0)</f>
        <v/>
      </c>
      <c r="H76" s="20">
        <f>IF($A76="","",COUNT($A$5:A76))</f>
        <v/>
      </c>
      <c r="I76" s="20">
        <f>IF($A76="","",TEXT($A76,"YYYY-MM-DD")&amp;"-"&amp;COUNTIF($A$5:$A76,$A76))</f>
        <v/>
      </c>
    </row>
    <row r="77">
      <c r="A77" s="16" t="n"/>
      <c r="B77" s="16" t="n"/>
      <c r="C77" s="9">
        <f>IFERROR(INDEX(Produits!$A:$A,MATCH($B77,Produits!$B:$B,0)),"")</f>
        <v/>
      </c>
      <c r="D77" s="16" t="n"/>
      <c r="E77" s="16" t="n"/>
      <c r="F77" s="11">
        <f>IFERROR(VLOOKUP($C77,Produits!$A$5:$D$104,4,0)*D77,0)</f>
        <v/>
      </c>
      <c r="G77" s="11">
        <f>IFERROR((VLOOKUP($C77,Produits!$A$5:$D$104,4,0)-VLOOKUP($C77,Produits!$A$5:$C$104,3,0))*D77,0)</f>
        <v/>
      </c>
      <c r="H77" s="20">
        <f>IF($A77="","",COUNT($A$5:A77))</f>
        <v/>
      </c>
      <c r="I77" s="20">
        <f>IF($A77="","",TEXT($A77,"YYYY-MM-DD")&amp;"-"&amp;COUNTIF($A$5:$A77,$A77))</f>
        <v/>
      </c>
    </row>
    <row r="78">
      <c r="A78" s="16" t="n"/>
      <c r="B78" s="16" t="n"/>
      <c r="C78" s="9">
        <f>IFERROR(INDEX(Produits!$A:$A,MATCH($B78,Produits!$B:$B,0)),"")</f>
        <v/>
      </c>
      <c r="D78" s="16" t="n"/>
      <c r="E78" s="16" t="n"/>
      <c r="F78" s="11">
        <f>IFERROR(VLOOKUP($C78,Produits!$A$5:$D$104,4,0)*D78,0)</f>
        <v/>
      </c>
      <c r="G78" s="11">
        <f>IFERROR((VLOOKUP($C78,Produits!$A$5:$D$104,4,0)-VLOOKUP($C78,Produits!$A$5:$C$104,3,0))*D78,0)</f>
        <v/>
      </c>
      <c r="H78" s="20">
        <f>IF($A78="","",COUNT($A$5:A78))</f>
        <v/>
      </c>
      <c r="I78" s="20">
        <f>IF($A78="","",TEXT($A78,"YYYY-MM-DD")&amp;"-"&amp;COUNTIF($A$5:$A78,$A78))</f>
        <v/>
      </c>
    </row>
    <row r="79">
      <c r="A79" s="16" t="n"/>
      <c r="B79" s="16" t="n"/>
      <c r="C79" s="9">
        <f>IFERROR(INDEX(Produits!$A:$A,MATCH($B79,Produits!$B:$B,0)),"")</f>
        <v/>
      </c>
      <c r="D79" s="16" t="n"/>
      <c r="E79" s="16" t="n"/>
      <c r="F79" s="11">
        <f>IFERROR(VLOOKUP($C79,Produits!$A$5:$D$104,4,0)*D79,0)</f>
        <v/>
      </c>
      <c r="G79" s="11">
        <f>IFERROR((VLOOKUP($C79,Produits!$A$5:$D$104,4,0)-VLOOKUP($C79,Produits!$A$5:$C$104,3,0))*D79,0)</f>
        <v/>
      </c>
      <c r="H79" s="20">
        <f>IF($A79="","",COUNT($A$5:A79))</f>
        <v/>
      </c>
      <c r="I79" s="20">
        <f>IF($A79="","",TEXT($A79,"YYYY-MM-DD")&amp;"-"&amp;COUNTIF($A$5:$A79,$A79))</f>
        <v/>
      </c>
    </row>
    <row r="80">
      <c r="A80" s="16" t="n"/>
      <c r="B80" s="16" t="n"/>
      <c r="C80" s="9">
        <f>IFERROR(INDEX(Produits!$A:$A,MATCH($B80,Produits!$B:$B,0)),"")</f>
        <v/>
      </c>
      <c r="D80" s="16" t="n"/>
      <c r="E80" s="16" t="n"/>
      <c r="F80" s="11">
        <f>IFERROR(VLOOKUP($C80,Produits!$A$5:$D$104,4,0)*D80,0)</f>
        <v/>
      </c>
      <c r="G80" s="11">
        <f>IFERROR((VLOOKUP($C80,Produits!$A$5:$D$104,4,0)-VLOOKUP($C80,Produits!$A$5:$C$104,3,0))*D80,0)</f>
        <v/>
      </c>
      <c r="H80" s="20">
        <f>IF($A80="","",COUNT($A$5:A80))</f>
        <v/>
      </c>
      <c r="I80" s="20">
        <f>IF($A80="","",TEXT($A80,"YYYY-MM-DD")&amp;"-"&amp;COUNTIF($A$5:$A80,$A80))</f>
        <v/>
      </c>
    </row>
    <row r="81">
      <c r="A81" s="16" t="n"/>
      <c r="B81" s="16" t="n"/>
      <c r="C81" s="9">
        <f>IFERROR(INDEX(Produits!$A:$A,MATCH($B81,Produits!$B:$B,0)),"")</f>
        <v/>
      </c>
      <c r="D81" s="16" t="n"/>
      <c r="E81" s="16" t="n"/>
      <c r="F81" s="11">
        <f>IFERROR(VLOOKUP($C81,Produits!$A$5:$D$104,4,0)*D81,0)</f>
        <v/>
      </c>
      <c r="G81" s="11">
        <f>IFERROR((VLOOKUP($C81,Produits!$A$5:$D$104,4,0)-VLOOKUP($C81,Produits!$A$5:$C$104,3,0))*D81,0)</f>
        <v/>
      </c>
      <c r="H81" s="20">
        <f>IF($A81="","",COUNT($A$5:A81))</f>
        <v/>
      </c>
      <c r="I81" s="20">
        <f>IF($A81="","",TEXT($A81,"YYYY-MM-DD")&amp;"-"&amp;COUNTIF($A$5:$A81,$A81))</f>
        <v/>
      </c>
    </row>
    <row r="82">
      <c r="A82" s="16" t="n"/>
      <c r="B82" s="16" t="n"/>
      <c r="C82" s="9">
        <f>IFERROR(INDEX(Produits!$A:$A,MATCH($B82,Produits!$B:$B,0)),"")</f>
        <v/>
      </c>
      <c r="D82" s="16" t="n"/>
      <c r="E82" s="16" t="n"/>
      <c r="F82" s="11">
        <f>IFERROR(VLOOKUP($C82,Produits!$A$5:$D$104,4,0)*D82,0)</f>
        <v/>
      </c>
      <c r="G82" s="11">
        <f>IFERROR((VLOOKUP($C82,Produits!$A$5:$D$104,4,0)-VLOOKUP($C82,Produits!$A$5:$C$104,3,0))*D82,0)</f>
        <v/>
      </c>
      <c r="H82" s="20">
        <f>IF($A82="","",COUNT($A$5:A82))</f>
        <v/>
      </c>
      <c r="I82" s="20">
        <f>IF($A82="","",TEXT($A82,"YYYY-MM-DD")&amp;"-"&amp;COUNTIF($A$5:$A82,$A82))</f>
        <v/>
      </c>
    </row>
    <row r="83">
      <c r="A83" s="16" t="n"/>
      <c r="B83" s="16" t="n"/>
      <c r="C83" s="9">
        <f>IFERROR(INDEX(Produits!$A:$A,MATCH($B83,Produits!$B:$B,0)),"")</f>
        <v/>
      </c>
      <c r="D83" s="16" t="n"/>
      <c r="E83" s="16" t="n"/>
      <c r="F83" s="11">
        <f>IFERROR(VLOOKUP($C83,Produits!$A$5:$D$104,4,0)*D83,0)</f>
        <v/>
      </c>
      <c r="G83" s="11">
        <f>IFERROR((VLOOKUP($C83,Produits!$A$5:$D$104,4,0)-VLOOKUP($C83,Produits!$A$5:$C$104,3,0))*D83,0)</f>
        <v/>
      </c>
      <c r="H83" s="20">
        <f>IF($A83="","",COUNT($A$5:A83))</f>
        <v/>
      </c>
      <c r="I83" s="20">
        <f>IF($A83="","",TEXT($A83,"YYYY-MM-DD")&amp;"-"&amp;COUNTIF($A$5:$A83,$A83))</f>
        <v/>
      </c>
    </row>
    <row r="84">
      <c r="A84" s="16" t="n"/>
      <c r="B84" s="16" t="n"/>
      <c r="C84" s="9">
        <f>IFERROR(INDEX(Produits!$A:$A,MATCH($B84,Produits!$B:$B,0)),"")</f>
        <v/>
      </c>
      <c r="D84" s="16" t="n"/>
      <c r="E84" s="16" t="n"/>
      <c r="F84" s="11">
        <f>IFERROR(VLOOKUP($C84,Produits!$A$5:$D$104,4,0)*D84,0)</f>
        <v/>
      </c>
      <c r="G84" s="11">
        <f>IFERROR((VLOOKUP($C84,Produits!$A$5:$D$104,4,0)-VLOOKUP($C84,Produits!$A$5:$C$104,3,0))*D84,0)</f>
        <v/>
      </c>
      <c r="H84" s="20">
        <f>IF($A84="","",COUNT($A$5:A84))</f>
        <v/>
      </c>
      <c r="I84" s="20">
        <f>IF($A84="","",TEXT($A84,"YYYY-MM-DD")&amp;"-"&amp;COUNTIF($A$5:$A84,$A84))</f>
        <v/>
      </c>
    </row>
    <row r="85">
      <c r="A85" s="16" t="n"/>
      <c r="B85" s="16" t="n"/>
      <c r="C85" s="9">
        <f>IFERROR(INDEX(Produits!$A:$A,MATCH($B85,Produits!$B:$B,0)),"")</f>
        <v/>
      </c>
      <c r="D85" s="16" t="n"/>
      <c r="E85" s="16" t="n"/>
      <c r="F85" s="11">
        <f>IFERROR(VLOOKUP($C85,Produits!$A$5:$D$104,4,0)*D85,0)</f>
        <v/>
      </c>
      <c r="G85" s="11">
        <f>IFERROR((VLOOKUP($C85,Produits!$A$5:$D$104,4,0)-VLOOKUP($C85,Produits!$A$5:$C$104,3,0))*D85,0)</f>
        <v/>
      </c>
      <c r="H85" s="20">
        <f>IF($A85="","",COUNT($A$5:A85))</f>
        <v/>
      </c>
      <c r="I85" s="20">
        <f>IF($A85="","",TEXT($A85,"YYYY-MM-DD")&amp;"-"&amp;COUNTIF($A$5:$A85,$A85))</f>
        <v/>
      </c>
    </row>
    <row r="86">
      <c r="A86" s="16" t="n"/>
      <c r="B86" s="16" t="n"/>
      <c r="C86" s="9">
        <f>IFERROR(INDEX(Produits!$A:$A,MATCH($B86,Produits!$B:$B,0)),"")</f>
        <v/>
      </c>
      <c r="D86" s="16" t="n"/>
      <c r="E86" s="16" t="n"/>
      <c r="F86" s="11">
        <f>IFERROR(VLOOKUP($C86,Produits!$A$5:$D$104,4,0)*D86,0)</f>
        <v/>
      </c>
      <c r="G86" s="11">
        <f>IFERROR((VLOOKUP($C86,Produits!$A$5:$D$104,4,0)-VLOOKUP($C86,Produits!$A$5:$C$104,3,0))*D86,0)</f>
        <v/>
      </c>
      <c r="H86" s="20">
        <f>IF($A86="","",COUNT($A$5:A86))</f>
        <v/>
      </c>
      <c r="I86" s="20">
        <f>IF($A86="","",TEXT($A86,"YYYY-MM-DD")&amp;"-"&amp;COUNTIF($A$5:$A86,$A86))</f>
        <v/>
      </c>
    </row>
    <row r="87">
      <c r="A87" s="16" t="n"/>
      <c r="B87" s="16" t="n"/>
      <c r="C87" s="9">
        <f>IFERROR(INDEX(Produits!$A:$A,MATCH($B87,Produits!$B:$B,0)),"")</f>
        <v/>
      </c>
      <c r="D87" s="16" t="n"/>
      <c r="E87" s="16" t="n"/>
      <c r="F87" s="11">
        <f>IFERROR(VLOOKUP($C87,Produits!$A$5:$D$104,4,0)*D87,0)</f>
        <v/>
      </c>
      <c r="G87" s="11">
        <f>IFERROR((VLOOKUP($C87,Produits!$A$5:$D$104,4,0)-VLOOKUP($C87,Produits!$A$5:$C$104,3,0))*D87,0)</f>
        <v/>
      </c>
      <c r="H87" s="20">
        <f>IF($A87="","",COUNT($A$5:A87))</f>
        <v/>
      </c>
      <c r="I87" s="20">
        <f>IF($A87="","",TEXT($A87,"YYYY-MM-DD")&amp;"-"&amp;COUNTIF($A$5:$A87,$A87))</f>
        <v/>
      </c>
    </row>
    <row r="88">
      <c r="A88" s="16" t="n"/>
      <c r="B88" s="16" t="n"/>
      <c r="C88" s="9">
        <f>IFERROR(INDEX(Produits!$A:$A,MATCH($B88,Produits!$B:$B,0)),"")</f>
        <v/>
      </c>
      <c r="D88" s="16" t="n"/>
      <c r="E88" s="16" t="n"/>
      <c r="F88" s="11">
        <f>IFERROR(VLOOKUP($C88,Produits!$A$5:$D$104,4,0)*D88,0)</f>
        <v/>
      </c>
      <c r="G88" s="11">
        <f>IFERROR((VLOOKUP($C88,Produits!$A$5:$D$104,4,0)-VLOOKUP($C88,Produits!$A$5:$C$104,3,0))*D88,0)</f>
        <v/>
      </c>
      <c r="H88" s="20">
        <f>IF($A88="","",COUNT($A$5:A88))</f>
        <v/>
      </c>
      <c r="I88" s="20">
        <f>IF($A88="","",TEXT($A88,"YYYY-MM-DD")&amp;"-"&amp;COUNTIF($A$5:$A88,$A88))</f>
        <v/>
      </c>
    </row>
    <row r="89">
      <c r="A89" s="16" t="n"/>
      <c r="B89" s="16" t="n"/>
      <c r="C89" s="9">
        <f>IFERROR(INDEX(Produits!$A:$A,MATCH($B89,Produits!$B:$B,0)),"")</f>
        <v/>
      </c>
      <c r="D89" s="16" t="n"/>
      <c r="E89" s="16" t="n"/>
      <c r="F89" s="11">
        <f>IFERROR(VLOOKUP($C89,Produits!$A$5:$D$104,4,0)*D89,0)</f>
        <v/>
      </c>
      <c r="G89" s="11">
        <f>IFERROR((VLOOKUP($C89,Produits!$A$5:$D$104,4,0)-VLOOKUP($C89,Produits!$A$5:$C$104,3,0))*D89,0)</f>
        <v/>
      </c>
      <c r="H89" s="20">
        <f>IF($A89="","",COUNT($A$5:A89))</f>
        <v/>
      </c>
      <c r="I89" s="20">
        <f>IF($A89="","",TEXT($A89,"YYYY-MM-DD")&amp;"-"&amp;COUNTIF($A$5:$A89,$A89))</f>
        <v/>
      </c>
    </row>
    <row r="90">
      <c r="A90" s="16" t="n"/>
      <c r="B90" s="16" t="n"/>
      <c r="C90" s="9">
        <f>IFERROR(INDEX(Produits!$A:$A,MATCH($B90,Produits!$B:$B,0)),"")</f>
        <v/>
      </c>
      <c r="D90" s="16" t="n"/>
      <c r="E90" s="16" t="n"/>
      <c r="F90" s="11">
        <f>IFERROR(VLOOKUP($C90,Produits!$A$5:$D$104,4,0)*D90,0)</f>
        <v/>
      </c>
      <c r="G90" s="11">
        <f>IFERROR((VLOOKUP($C90,Produits!$A$5:$D$104,4,0)-VLOOKUP($C90,Produits!$A$5:$C$104,3,0))*D90,0)</f>
        <v/>
      </c>
      <c r="H90" s="20">
        <f>IF($A90="","",COUNT($A$5:A90))</f>
        <v/>
      </c>
      <c r="I90" s="20">
        <f>IF($A90="","",TEXT($A90,"YYYY-MM-DD")&amp;"-"&amp;COUNTIF($A$5:$A90,$A90))</f>
        <v/>
      </c>
    </row>
    <row r="91">
      <c r="A91" s="16" t="n"/>
      <c r="B91" s="16" t="n"/>
      <c r="C91" s="9">
        <f>IFERROR(INDEX(Produits!$A:$A,MATCH($B91,Produits!$B:$B,0)),"")</f>
        <v/>
      </c>
      <c r="D91" s="16" t="n"/>
      <c r="E91" s="16" t="n"/>
      <c r="F91" s="11">
        <f>IFERROR(VLOOKUP($C91,Produits!$A$5:$D$104,4,0)*D91,0)</f>
        <v/>
      </c>
      <c r="G91" s="11">
        <f>IFERROR((VLOOKUP($C91,Produits!$A$5:$D$104,4,0)-VLOOKUP($C91,Produits!$A$5:$C$104,3,0))*D91,0)</f>
        <v/>
      </c>
      <c r="H91" s="20">
        <f>IF($A91="","",COUNT($A$5:A91))</f>
        <v/>
      </c>
      <c r="I91" s="20">
        <f>IF($A91="","",TEXT($A91,"YYYY-MM-DD")&amp;"-"&amp;COUNTIF($A$5:$A91,$A91))</f>
        <v/>
      </c>
    </row>
    <row r="92">
      <c r="A92" s="16" t="n"/>
      <c r="B92" s="16" t="n"/>
      <c r="C92" s="9">
        <f>IFERROR(INDEX(Produits!$A:$A,MATCH($B92,Produits!$B:$B,0)),"")</f>
        <v/>
      </c>
      <c r="D92" s="16" t="n"/>
      <c r="E92" s="16" t="n"/>
      <c r="F92" s="11">
        <f>IFERROR(VLOOKUP($C92,Produits!$A$5:$D$104,4,0)*D92,0)</f>
        <v/>
      </c>
      <c r="G92" s="11">
        <f>IFERROR((VLOOKUP($C92,Produits!$A$5:$D$104,4,0)-VLOOKUP($C92,Produits!$A$5:$C$104,3,0))*D92,0)</f>
        <v/>
      </c>
      <c r="H92" s="20">
        <f>IF($A92="","",COUNT($A$5:A92))</f>
        <v/>
      </c>
      <c r="I92" s="20">
        <f>IF($A92="","",TEXT($A92,"YYYY-MM-DD")&amp;"-"&amp;COUNTIF($A$5:$A92,$A92))</f>
        <v/>
      </c>
    </row>
    <row r="93">
      <c r="A93" s="16" t="n"/>
      <c r="B93" s="16" t="n"/>
      <c r="C93" s="9">
        <f>IFERROR(INDEX(Produits!$A:$A,MATCH($B93,Produits!$B:$B,0)),"")</f>
        <v/>
      </c>
      <c r="D93" s="16" t="n"/>
      <c r="E93" s="16" t="n"/>
      <c r="F93" s="11">
        <f>IFERROR(VLOOKUP($C93,Produits!$A$5:$D$104,4,0)*D93,0)</f>
        <v/>
      </c>
      <c r="G93" s="11">
        <f>IFERROR((VLOOKUP($C93,Produits!$A$5:$D$104,4,0)-VLOOKUP($C93,Produits!$A$5:$C$104,3,0))*D93,0)</f>
        <v/>
      </c>
      <c r="H93" s="20">
        <f>IF($A93="","",COUNT($A$5:A93))</f>
        <v/>
      </c>
      <c r="I93" s="20">
        <f>IF($A93="","",TEXT($A93,"YYYY-MM-DD")&amp;"-"&amp;COUNTIF($A$5:$A93,$A93))</f>
        <v/>
      </c>
    </row>
    <row r="94">
      <c r="A94" s="16" t="n"/>
      <c r="B94" s="16" t="n"/>
      <c r="C94" s="9">
        <f>IFERROR(INDEX(Produits!$A:$A,MATCH($B94,Produits!$B:$B,0)),"")</f>
        <v/>
      </c>
      <c r="D94" s="16" t="n"/>
      <c r="E94" s="16" t="n"/>
      <c r="F94" s="11">
        <f>IFERROR(VLOOKUP($C94,Produits!$A$5:$D$104,4,0)*D94,0)</f>
        <v/>
      </c>
      <c r="G94" s="11">
        <f>IFERROR((VLOOKUP($C94,Produits!$A$5:$D$104,4,0)-VLOOKUP($C94,Produits!$A$5:$C$104,3,0))*D94,0)</f>
        <v/>
      </c>
      <c r="H94" s="20">
        <f>IF($A94="","",COUNT($A$5:A94))</f>
        <v/>
      </c>
      <c r="I94" s="20">
        <f>IF($A94="","",TEXT($A94,"YYYY-MM-DD")&amp;"-"&amp;COUNTIF($A$5:$A94,$A94))</f>
        <v/>
      </c>
    </row>
    <row r="95">
      <c r="A95" s="16" t="n"/>
      <c r="B95" s="16" t="n"/>
      <c r="C95" s="9">
        <f>IFERROR(INDEX(Produits!$A:$A,MATCH($B95,Produits!$B:$B,0)),"")</f>
        <v/>
      </c>
      <c r="D95" s="16" t="n"/>
      <c r="E95" s="16" t="n"/>
      <c r="F95" s="11">
        <f>IFERROR(VLOOKUP($C95,Produits!$A$5:$D$104,4,0)*D95,0)</f>
        <v/>
      </c>
      <c r="G95" s="11">
        <f>IFERROR((VLOOKUP($C95,Produits!$A$5:$D$104,4,0)-VLOOKUP($C95,Produits!$A$5:$C$104,3,0))*D95,0)</f>
        <v/>
      </c>
      <c r="H95" s="20">
        <f>IF($A95="","",COUNT($A$5:A95))</f>
        <v/>
      </c>
      <c r="I95" s="20">
        <f>IF($A95="","",TEXT($A95,"YYYY-MM-DD")&amp;"-"&amp;COUNTIF($A$5:$A95,$A95))</f>
        <v/>
      </c>
    </row>
    <row r="96">
      <c r="A96" s="16" t="n"/>
      <c r="B96" s="16" t="n"/>
      <c r="C96" s="9">
        <f>IFERROR(INDEX(Produits!$A:$A,MATCH($B96,Produits!$B:$B,0)),"")</f>
        <v/>
      </c>
      <c r="D96" s="16" t="n"/>
      <c r="E96" s="16" t="n"/>
      <c r="F96" s="11">
        <f>IFERROR(VLOOKUP($C96,Produits!$A$5:$D$104,4,0)*D96,0)</f>
        <v/>
      </c>
      <c r="G96" s="11">
        <f>IFERROR((VLOOKUP($C96,Produits!$A$5:$D$104,4,0)-VLOOKUP($C96,Produits!$A$5:$C$104,3,0))*D96,0)</f>
        <v/>
      </c>
      <c r="H96" s="20">
        <f>IF($A96="","",COUNT($A$5:A96))</f>
        <v/>
      </c>
      <c r="I96" s="20">
        <f>IF($A96="","",TEXT($A96,"YYYY-MM-DD")&amp;"-"&amp;COUNTIF($A$5:$A96,$A96))</f>
        <v/>
      </c>
    </row>
    <row r="97">
      <c r="A97" s="16" t="n"/>
      <c r="B97" s="16" t="n"/>
      <c r="C97" s="9">
        <f>IFERROR(INDEX(Produits!$A:$A,MATCH($B97,Produits!$B:$B,0)),"")</f>
        <v/>
      </c>
      <c r="D97" s="16" t="n"/>
      <c r="E97" s="16" t="n"/>
      <c r="F97" s="11">
        <f>IFERROR(VLOOKUP($C97,Produits!$A$5:$D$104,4,0)*D97,0)</f>
        <v/>
      </c>
      <c r="G97" s="11">
        <f>IFERROR((VLOOKUP($C97,Produits!$A$5:$D$104,4,0)-VLOOKUP($C97,Produits!$A$5:$C$104,3,0))*D97,0)</f>
        <v/>
      </c>
      <c r="H97" s="20">
        <f>IF($A97="","",COUNT($A$5:A97))</f>
        <v/>
      </c>
      <c r="I97" s="20">
        <f>IF($A97="","",TEXT($A97,"YYYY-MM-DD")&amp;"-"&amp;COUNTIF($A$5:$A97,$A97))</f>
        <v/>
      </c>
    </row>
    <row r="98">
      <c r="A98" s="16" t="n"/>
      <c r="B98" s="16" t="n"/>
      <c r="C98" s="9">
        <f>IFERROR(INDEX(Produits!$A:$A,MATCH($B98,Produits!$B:$B,0)),"")</f>
        <v/>
      </c>
      <c r="D98" s="16" t="n"/>
      <c r="E98" s="16" t="n"/>
      <c r="F98" s="11">
        <f>IFERROR(VLOOKUP($C98,Produits!$A$5:$D$104,4,0)*D98,0)</f>
        <v/>
      </c>
      <c r="G98" s="11">
        <f>IFERROR((VLOOKUP($C98,Produits!$A$5:$D$104,4,0)-VLOOKUP($C98,Produits!$A$5:$C$104,3,0))*D98,0)</f>
        <v/>
      </c>
      <c r="H98" s="20">
        <f>IF($A98="","",COUNT($A$5:A98))</f>
        <v/>
      </c>
      <c r="I98" s="20">
        <f>IF($A98="","",TEXT($A98,"YYYY-MM-DD")&amp;"-"&amp;COUNTIF($A$5:$A98,$A98))</f>
        <v/>
      </c>
    </row>
    <row r="99">
      <c r="A99" s="16" t="n"/>
      <c r="B99" s="16" t="n"/>
      <c r="C99" s="9">
        <f>IFERROR(INDEX(Produits!$A:$A,MATCH($B99,Produits!$B:$B,0)),"")</f>
        <v/>
      </c>
      <c r="D99" s="16" t="n"/>
      <c r="E99" s="16" t="n"/>
      <c r="F99" s="11">
        <f>IFERROR(VLOOKUP($C99,Produits!$A$5:$D$104,4,0)*D99,0)</f>
        <v/>
      </c>
      <c r="G99" s="11">
        <f>IFERROR((VLOOKUP($C99,Produits!$A$5:$D$104,4,0)-VLOOKUP($C99,Produits!$A$5:$C$104,3,0))*D99,0)</f>
        <v/>
      </c>
      <c r="H99" s="20">
        <f>IF($A99="","",COUNT($A$5:A99))</f>
        <v/>
      </c>
      <c r="I99" s="20">
        <f>IF($A99="","",TEXT($A99,"YYYY-MM-DD")&amp;"-"&amp;COUNTIF($A$5:$A99,$A99))</f>
        <v/>
      </c>
    </row>
    <row r="100">
      <c r="A100" s="16" t="n"/>
      <c r="B100" s="16" t="n"/>
      <c r="C100" s="9">
        <f>IFERROR(INDEX(Produits!$A:$A,MATCH($B100,Produits!$B:$B,0)),"")</f>
        <v/>
      </c>
      <c r="D100" s="16" t="n"/>
      <c r="E100" s="16" t="n"/>
      <c r="F100" s="11">
        <f>IFERROR(VLOOKUP($C100,Produits!$A$5:$D$104,4,0)*D100,0)</f>
        <v/>
      </c>
      <c r="G100" s="11">
        <f>IFERROR((VLOOKUP($C100,Produits!$A$5:$D$104,4,0)-VLOOKUP($C100,Produits!$A$5:$C$104,3,0))*D100,0)</f>
        <v/>
      </c>
      <c r="H100" s="20">
        <f>IF($A100="","",COUNT($A$5:A100))</f>
        <v/>
      </c>
      <c r="I100" s="20">
        <f>IF($A100="","",TEXT($A100,"YYYY-MM-DD")&amp;"-"&amp;COUNTIF($A$5:$A100,$A100))</f>
        <v/>
      </c>
    </row>
    <row r="101">
      <c r="A101" s="16" t="n"/>
      <c r="B101" s="16" t="n"/>
      <c r="C101" s="9">
        <f>IFERROR(INDEX(Produits!$A:$A,MATCH($B101,Produits!$B:$B,0)),"")</f>
        <v/>
      </c>
      <c r="D101" s="16" t="n"/>
      <c r="E101" s="16" t="n"/>
      <c r="F101" s="11">
        <f>IFERROR(VLOOKUP($C101,Produits!$A$5:$D$104,4,0)*D101,0)</f>
        <v/>
      </c>
      <c r="G101" s="11">
        <f>IFERROR((VLOOKUP($C101,Produits!$A$5:$D$104,4,0)-VLOOKUP($C101,Produits!$A$5:$C$104,3,0))*D101,0)</f>
        <v/>
      </c>
      <c r="H101" s="20">
        <f>IF($A101="","",COUNT($A$5:A101))</f>
        <v/>
      </c>
      <c r="I101" s="20">
        <f>IF($A101="","",TEXT($A101,"YYYY-MM-DD")&amp;"-"&amp;COUNTIF($A$5:$A101,$A101))</f>
        <v/>
      </c>
    </row>
    <row r="102">
      <c r="A102" s="16" t="n"/>
      <c r="B102" s="16" t="n"/>
      <c r="C102" s="9">
        <f>IFERROR(INDEX(Produits!$A:$A,MATCH($B102,Produits!$B:$B,0)),"")</f>
        <v/>
      </c>
      <c r="D102" s="16" t="n"/>
      <c r="E102" s="16" t="n"/>
      <c r="F102" s="11">
        <f>IFERROR(VLOOKUP($C102,Produits!$A$5:$D$104,4,0)*D102,0)</f>
        <v/>
      </c>
      <c r="G102" s="11">
        <f>IFERROR((VLOOKUP($C102,Produits!$A$5:$D$104,4,0)-VLOOKUP($C102,Produits!$A$5:$C$104,3,0))*D102,0)</f>
        <v/>
      </c>
      <c r="H102" s="20">
        <f>IF($A102="","",COUNT($A$5:A102))</f>
        <v/>
      </c>
      <c r="I102" s="20">
        <f>IF($A102="","",TEXT($A102,"YYYY-MM-DD")&amp;"-"&amp;COUNTIF($A$5:$A102,$A102))</f>
        <v/>
      </c>
    </row>
    <row r="103">
      <c r="A103" s="16" t="n"/>
      <c r="B103" s="16" t="n"/>
      <c r="C103" s="9">
        <f>IFERROR(INDEX(Produits!$A:$A,MATCH($B103,Produits!$B:$B,0)),"")</f>
        <v/>
      </c>
      <c r="D103" s="16" t="n"/>
      <c r="E103" s="16" t="n"/>
      <c r="F103" s="11">
        <f>IFERROR(VLOOKUP($C103,Produits!$A$5:$D$104,4,0)*D103,0)</f>
        <v/>
      </c>
      <c r="G103" s="11">
        <f>IFERROR((VLOOKUP($C103,Produits!$A$5:$D$104,4,0)-VLOOKUP($C103,Produits!$A$5:$C$104,3,0))*D103,0)</f>
        <v/>
      </c>
      <c r="H103" s="20">
        <f>IF($A103="","",COUNT($A$5:A103))</f>
        <v/>
      </c>
      <c r="I103" s="20">
        <f>IF($A103="","",TEXT($A103,"YYYY-MM-DD")&amp;"-"&amp;COUNTIF($A$5:$A103,$A103))</f>
        <v/>
      </c>
    </row>
    <row r="104">
      <c r="A104" s="16" t="n"/>
      <c r="B104" s="16" t="n"/>
      <c r="C104" s="9">
        <f>IFERROR(INDEX(Produits!$A:$A,MATCH($B104,Produits!$B:$B,0)),"")</f>
        <v/>
      </c>
      <c r="D104" s="16" t="n"/>
      <c r="E104" s="16" t="n"/>
      <c r="F104" s="11">
        <f>IFERROR(VLOOKUP($C104,Produits!$A$5:$D$104,4,0)*D104,0)</f>
        <v/>
      </c>
      <c r="G104" s="11">
        <f>IFERROR((VLOOKUP($C104,Produits!$A$5:$D$104,4,0)-VLOOKUP($C104,Produits!$A$5:$C$104,3,0))*D104,0)</f>
        <v/>
      </c>
      <c r="H104" s="20">
        <f>IF($A104="","",COUNT($A$5:A104))</f>
        <v/>
      </c>
      <c r="I104" s="20">
        <f>IF($A104="","",TEXT($A104,"YYYY-MM-DD")&amp;"-"&amp;COUNTIF($A$5:$A104,$A104))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dataValidations count="2">
    <dataValidation sqref="B5:B104" showDropDown="0" showInputMessage="0" showErrorMessage="0" allowBlank="1" type="list">
      <formula1>=ListeProduits</formula1>
    </dataValidation>
    <dataValidation sqref="E5:E104" showDropDown="0" showInputMessage="0" showErrorMessage="0" allowBlank="1" type="list">
      <formula1>=ListeClients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CALENDRIER 2026 — Synthèse journalière</t>
        </is>
      </c>
    </row>
    <row r="2">
      <c r="A2" s="2" t="inlineStr">
        <is>
          <t>Feuille automatique — consultable et modifiable.</t>
        </is>
      </c>
    </row>
    <row r="4">
      <c r="A4" s="8" t="inlineStr">
        <is>
          <t>Date</t>
        </is>
      </c>
      <c r="B4" s="8" t="inlineStr">
        <is>
          <t>Jour</t>
        </is>
      </c>
      <c r="C4" s="8" t="inlineStr">
        <is>
          <t>Nb ventes</t>
        </is>
      </c>
      <c r="D4" s="8" t="inlineStr">
        <is>
          <t>CA du jour</t>
        </is>
      </c>
      <c r="E4" s="8" t="inlineStr">
        <is>
          <t>Bénéfice du jour</t>
        </is>
      </c>
      <c r="F4" s="8" t="inlineStr">
        <is>
          <t>Nb achats</t>
        </is>
      </c>
      <c r="G4" s="8" t="inlineStr">
        <is>
          <t>Qté achetée</t>
        </is>
      </c>
    </row>
    <row r="5">
      <c r="A5" s="10" t="n">
        <v>46023</v>
      </c>
      <c r="B5" s="9" t="inlineStr">
        <is>
          <t>Jeudi</t>
        </is>
      </c>
      <c r="C5" s="18">
        <f>COUNTIF(Ventes!$A$5:$A$104,$A5)</f>
        <v/>
      </c>
      <c r="D5" s="11">
        <f>SUMPRODUCT((Ventes!$A$5:$A$104=$A5)*Ventes!$F$5:$F$104)</f>
        <v/>
      </c>
      <c r="E5" s="11">
        <f>SUMPRODUCT((Ventes!$A$5:$A$104=$A5)*Ventes!$G$5:$G$104)</f>
        <v/>
      </c>
      <c r="F5" s="18">
        <f>COUNTIF(Achats!$A$5:$A$104,$A5)</f>
        <v/>
      </c>
      <c r="G5" s="18">
        <f>SUMIF(Achats!$A$5:$A$104,$A5,Achats!$D$5:$D$104)</f>
        <v/>
      </c>
    </row>
    <row r="6">
      <c r="A6" s="10" t="n">
        <v>46024</v>
      </c>
      <c r="B6" s="9" t="inlineStr">
        <is>
          <t>Vendredi</t>
        </is>
      </c>
      <c r="C6" s="18">
        <f>COUNTIF(Ventes!$A$5:$A$104,$A6)</f>
        <v/>
      </c>
      <c r="D6" s="11">
        <f>SUMPRODUCT((Ventes!$A$5:$A$104=$A6)*Ventes!$F$5:$F$104)</f>
        <v/>
      </c>
      <c r="E6" s="11">
        <f>SUMPRODUCT((Ventes!$A$5:$A$104=$A6)*Ventes!$G$5:$G$104)</f>
        <v/>
      </c>
      <c r="F6" s="18">
        <f>COUNTIF(Achats!$A$5:$A$104,$A6)</f>
        <v/>
      </c>
      <c r="G6" s="18">
        <f>SUMIF(Achats!$A$5:$A$104,$A6,Achats!$D$5:$D$104)</f>
        <v/>
      </c>
    </row>
    <row r="7">
      <c r="A7" s="23" t="n">
        <v>46025</v>
      </c>
      <c r="B7" s="24" t="inlineStr">
        <is>
          <t>Samedi</t>
        </is>
      </c>
      <c r="C7" s="25">
        <f>COUNTIF(Ventes!$A$5:$A$104,$A7)</f>
        <v/>
      </c>
      <c r="D7" s="26">
        <f>SUMPRODUCT((Ventes!$A$5:$A$104=$A7)*Ventes!$F$5:$F$104)</f>
        <v/>
      </c>
      <c r="E7" s="26">
        <f>SUMPRODUCT((Ventes!$A$5:$A$104=$A7)*Ventes!$G$5:$G$104)</f>
        <v/>
      </c>
      <c r="F7" s="25">
        <f>COUNTIF(Achats!$A$5:$A$104,$A7)</f>
        <v/>
      </c>
      <c r="G7" s="25">
        <f>SUMIF(Achats!$A$5:$A$104,$A7,Achats!$D$5:$D$104)</f>
        <v/>
      </c>
    </row>
    <row r="8">
      <c r="A8" s="23" t="n">
        <v>46026</v>
      </c>
      <c r="B8" s="24" t="inlineStr">
        <is>
          <t>Dimanche</t>
        </is>
      </c>
      <c r="C8" s="25">
        <f>COUNTIF(Ventes!$A$5:$A$104,$A8)</f>
        <v/>
      </c>
      <c r="D8" s="26">
        <f>SUMPRODUCT((Ventes!$A$5:$A$104=$A8)*Ventes!$F$5:$F$104)</f>
        <v/>
      </c>
      <c r="E8" s="26">
        <f>SUMPRODUCT((Ventes!$A$5:$A$104=$A8)*Ventes!$G$5:$G$104)</f>
        <v/>
      </c>
      <c r="F8" s="25">
        <f>COUNTIF(Achats!$A$5:$A$104,$A8)</f>
        <v/>
      </c>
      <c r="G8" s="25">
        <f>SUMIF(Achats!$A$5:$A$104,$A8,Achats!$D$5:$D$104)</f>
        <v/>
      </c>
    </row>
    <row r="9">
      <c r="A9" s="10" t="n">
        <v>46027</v>
      </c>
      <c r="B9" s="9" t="inlineStr">
        <is>
          <t>Lundi</t>
        </is>
      </c>
      <c r="C9" s="18">
        <f>COUNTIF(Ventes!$A$5:$A$104,$A9)</f>
        <v/>
      </c>
      <c r="D9" s="11">
        <f>SUMPRODUCT((Ventes!$A$5:$A$104=$A9)*Ventes!$F$5:$F$104)</f>
        <v/>
      </c>
      <c r="E9" s="11">
        <f>SUMPRODUCT((Ventes!$A$5:$A$104=$A9)*Ventes!$G$5:$G$104)</f>
        <v/>
      </c>
      <c r="F9" s="18">
        <f>COUNTIF(Achats!$A$5:$A$104,$A9)</f>
        <v/>
      </c>
      <c r="G9" s="18">
        <f>SUMIF(Achats!$A$5:$A$104,$A9,Achats!$D$5:$D$104)</f>
        <v/>
      </c>
    </row>
    <row r="10">
      <c r="A10" s="10" t="n">
        <v>46028</v>
      </c>
      <c r="B10" s="9" t="inlineStr">
        <is>
          <t>Mardi</t>
        </is>
      </c>
      <c r="C10" s="18">
        <f>COUNTIF(Ventes!$A$5:$A$104,$A10)</f>
        <v/>
      </c>
      <c r="D10" s="11">
        <f>SUMPRODUCT((Ventes!$A$5:$A$104=$A10)*Ventes!$F$5:$F$104)</f>
        <v/>
      </c>
      <c r="E10" s="11">
        <f>SUMPRODUCT((Ventes!$A$5:$A$104=$A10)*Ventes!$G$5:$G$104)</f>
        <v/>
      </c>
      <c r="F10" s="18">
        <f>COUNTIF(Achats!$A$5:$A$104,$A10)</f>
        <v/>
      </c>
      <c r="G10" s="18">
        <f>SUMIF(Achats!$A$5:$A$104,$A10,Achats!$D$5:$D$104)</f>
        <v/>
      </c>
    </row>
    <row r="11">
      <c r="A11" s="10" t="n">
        <v>46029</v>
      </c>
      <c r="B11" s="9" t="inlineStr">
        <is>
          <t>Mercredi</t>
        </is>
      </c>
      <c r="C11" s="18">
        <f>COUNTIF(Ventes!$A$5:$A$104,$A11)</f>
        <v/>
      </c>
      <c r="D11" s="11">
        <f>SUMPRODUCT((Ventes!$A$5:$A$104=$A11)*Ventes!$F$5:$F$104)</f>
        <v/>
      </c>
      <c r="E11" s="11">
        <f>SUMPRODUCT((Ventes!$A$5:$A$104=$A11)*Ventes!$G$5:$G$104)</f>
        <v/>
      </c>
      <c r="F11" s="18">
        <f>COUNTIF(Achats!$A$5:$A$104,$A11)</f>
        <v/>
      </c>
      <c r="G11" s="18">
        <f>SUMIF(Achats!$A$5:$A$104,$A11,Achats!$D$5:$D$104)</f>
        <v/>
      </c>
    </row>
    <row r="12">
      <c r="A12" s="10" t="n">
        <v>46030</v>
      </c>
      <c r="B12" s="9" t="inlineStr">
        <is>
          <t>Jeudi</t>
        </is>
      </c>
      <c r="C12" s="18">
        <f>COUNTIF(Ventes!$A$5:$A$104,$A12)</f>
        <v/>
      </c>
      <c r="D12" s="11">
        <f>SUMPRODUCT((Ventes!$A$5:$A$104=$A12)*Ventes!$F$5:$F$104)</f>
        <v/>
      </c>
      <c r="E12" s="11">
        <f>SUMPRODUCT((Ventes!$A$5:$A$104=$A12)*Ventes!$G$5:$G$104)</f>
        <v/>
      </c>
      <c r="F12" s="18">
        <f>COUNTIF(Achats!$A$5:$A$104,$A12)</f>
        <v/>
      </c>
      <c r="G12" s="18">
        <f>SUMIF(Achats!$A$5:$A$104,$A12,Achats!$D$5:$D$104)</f>
        <v/>
      </c>
    </row>
    <row r="13">
      <c r="A13" s="10" t="n">
        <v>46031</v>
      </c>
      <c r="B13" s="9" t="inlineStr">
        <is>
          <t>Vendredi</t>
        </is>
      </c>
      <c r="C13" s="18">
        <f>COUNTIF(Ventes!$A$5:$A$104,$A13)</f>
        <v/>
      </c>
      <c r="D13" s="11">
        <f>SUMPRODUCT((Ventes!$A$5:$A$104=$A13)*Ventes!$F$5:$F$104)</f>
        <v/>
      </c>
      <c r="E13" s="11">
        <f>SUMPRODUCT((Ventes!$A$5:$A$104=$A13)*Ventes!$G$5:$G$104)</f>
        <v/>
      </c>
      <c r="F13" s="18">
        <f>COUNTIF(Achats!$A$5:$A$104,$A13)</f>
        <v/>
      </c>
      <c r="G13" s="18">
        <f>SUMIF(Achats!$A$5:$A$104,$A13,Achats!$D$5:$D$104)</f>
        <v/>
      </c>
    </row>
    <row r="14">
      <c r="A14" s="23" t="n">
        <v>46032</v>
      </c>
      <c r="B14" s="24" t="inlineStr">
        <is>
          <t>Samedi</t>
        </is>
      </c>
      <c r="C14" s="25">
        <f>COUNTIF(Ventes!$A$5:$A$104,$A14)</f>
        <v/>
      </c>
      <c r="D14" s="26">
        <f>SUMPRODUCT((Ventes!$A$5:$A$104=$A14)*Ventes!$F$5:$F$104)</f>
        <v/>
      </c>
      <c r="E14" s="26">
        <f>SUMPRODUCT((Ventes!$A$5:$A$104=$A14)*Ventes!$G$5:$G$104)</f>
        <v/>
      </c>
      <c r="F14" s="25">
        <f>COUNTIF(Achats!$A$5:$A$104,$A14)</f>
        <v/>
      </c>
      <c r="G14" s="25">
        <f>SUMIF(Achats!$A$5:$A$104,$A14,Achats!$D$5:$D$104)</f>
        <v/>
      </c>
    </row>
    <row r="15">
      <c r="A15" s="23" t="n">
        <v>46033</v>
      </c>
      <c r="B15" s="24" t="inlineStr">
        <is>
          <t>Dimanche</t>
        </is>
      </c>
      <c r="C15" s="25">
        <f>COUNTIF(Ventes!$A$5:$A$104,$A15)</f>
        <v/>
      </c>
      <c r="D15" s="26">
        <f>SUMPRODUCT((Ventes!$A$5:$A$104=$A15)*Ventes!$F$5:$F$104)</f>
        <v/>
      </c>
      <c r="E15" s="26">
        <f>SUMPRODUCT((Ventes!$A$5:$A$104=$A15)*Ventes!$G$5:$G$104)</f>
        <v/>
      </c>
      <c r="F15" s="25">
        <f>COUNTIF(Achats!$A$5:$A$104,$A15)</f>
        <v/>
      </c>
      <c r="G15" s="25">
        <f>SUMIF(Achats!$A$5:$A$104,$A15,Achats!$D$5:$D$104)</f>
        <v/>
      </c>
    </row>
    <row r="16">
      <c r="A16" s="10" t="n">
        <v>46034</v>
      </c>
      <c r="B16" s="9" t="inlineStr">
        <is>
          <t>Lundi</t>
        </is>
      </c>
      <c r="C16" s="18">
        <f>COUNTIF(Ventes!$A$5:$A$104,$A16)</f>
        <v/>
      </c>
      <c r="D16" s="11">
        <f>SUMPRODUCT((Ventes!$A$5:$A$104=$A16)*Ventes!$F$5:$F$104)</f>
        <v/>
      </c>
      <c r="E16" s="11">
        <f>SUMPRODUCT((Ventes!$A$5:$A$104=$A16)*Ventes!$G$5:$G$104)</f>
        <v/>
      </c>
      <c r="F16" s="18">
        <f>COUNTIF(Achats!$A$5:$A$104,$A16)</f>
        <v/>
      </c>
      <c r="G16" s="18">
        <f>SUMIF(Achats!$A$5:$A$104,$A16,Achats!$D$5:$D$104)</f>
        <v/>
      </c>
    </row>
    <row r="17">
      <c r="A17" s="10" t="n">
        <v>46035</v>
      </c>
      <c r="B17" s="9" t="inlineStr">
        <is>
          <t>Mardi</t>
        </is>
      </c>
      <c r="C17" s="18">
        <f>COUNTIF(Ventes!$A$5:$A$104,$A17)</f>
        <v/>
      </c>
      <c r="D17" s="11">
        <f>SUMPRODUCT((Ventes!$A$5:$A$104=$A17)*Ventes!$F$5:$F$104)</f>
        <v/>
      </c>
      <c r="E17" s="11">
        <f>SUMPRODUCT((Ventes!$A$5:$A$104=$A17)*Ventes!$G$5:$G$104)</f>
        <v/>
      </c>
      <c r="F17" s="18">
        <f>COUNTIF(Achats!$A$5:$A$104,$A17)</f>
        <v/>
      </c>
      <c r="G17" s="18">
        <f>SUMIF(Achats!$A$5:$A$104,$A17,Achats!$D$5:$D$104)</f>
        <v/>
      </c>
    </row>
    <row r="18">
      <c r="A18" s="10" t="n">
        <v>46036</v>
      </c>
      <c r="B18" s="9" t="inlineStr">
        <is>
          <t>Mercredi</t>
        </is>
      </c>
      <c r="C18" s="18">
        <f>COUNTIF(Ventes!$A$5:$A$104,$A18)</f>
        <v/>
      </c>
      <c r="D18" s="11">
        <f>SUMPRODUCT((Ventes!$A$5:$A$104=$A18)*Ventes!$F$5:$F$104)</f>
        <v/>
      </c>
      <c r="E18" s="11">
        <f>SUMPRODUCT((Ventes!$A$5:$A$104=$A18)*Ventes!$G$5:$G$104)</f>
        <v/>
      </c>
      <c r="F18" s="18">
        <f>COUNTIF(Achats!$A$5:$A$104,$A18)</f>
        <v/>
      </c>
      <c r="G18" s="18">
        <f>SUMIF(Achats!$A$5:$A$104,$A18,Achats!$D$5:$D$104)</f>
        <v/>
      </c>
    </row>
    <row r="19">
      <c r="A19" s="10" t="n">
        <v>46037</v>
      </c>
      <c r="B19" s="9" t="inlineStr">
        <is>
          <t>Jeudi</t>
        </is>
      </c>
      <c r="C19" s="18">
        <f>COUNTIF(Ventes!$A$5:$A$104,$A19)</f>
        <v/>
      </c>
      <c r="D19" s="11">
        <f>SUMPRODUCT((Ventes!$A$5:$A$104=$A19)*Ventes!$F$5:$F$104)</f>
        <v/>
      </c>
      <c r="E19" s="11">
        <f>SUMPRODUCT((Ventes!$A$5:$A$104=$A19)*Ventes!$G$5:$G$104)</f>
        <v/>
      </c>
      <c r="F19" s="18">
        <f>COUNTIF(Achats!$A$5:$A$104,$A19)</f>
        <v/>
      </c>
      <c r="G19" s="18">
        <f>SUMIF(Achats!$A$5:$A$104,$A19,Achats!$D$5:$D$104)</f>
        <v/>
      </c>
    </row>
    <row r="20">
      <c r="A20" s="10" t="n">
        <v>46038</v>
      </c>
      <c r="B20" s="9" t="inlineStr">
        <is>
          <t>Vendredi</t>
        </is>
      </c>
      <c r="C20" s="18">
        <f>COUNTIF(Ventes!$A$5:$A$104,$A20)</f>
        <v/>
      </c>
      <c r="D20" s="11">
        <f>SUMPRODUCT((Ventes!$A$5:$A$104=$A20)*Ventes!$F$5:$F$104)</f>
        <v/>
      </c>
      <c r="E20" s="11">
        <f>SUMPRODUCT((Ventes!$A$5:$A$104=$A20)*Ventes!$G$5:$G$104)</f>
        <v/>
      </c>
      <c r="F20" s="18">
        <f>COUNTIF(Achats!$A$5:$A$104,$A20)</f>
        <v/>
      </c>
      <c r="G20" s="18">
        <f>SUMIF(Achats!$A$5:$A$104,$A20,Achats!$D$5:$D$104)</f>
        <v/>
      </c>
    </row>
    <row r="21">
      <c r="A21" s="23" t="n">
        <v>46039</v>
      </c>
      <c r="B21" s="24" t="inlineStr">
        <is>
          <t>Samedi</t>
        </is>
      </c>
      <c r="C21" s="25">
        <f>COUNTIF(Ventes!$A$5:$A$104,$A21)</f>
        <v/>
      </c>
      <c r="D21" s="26">
        <f>SUMPRODUCT((Ventes!$A$5:$A$104=$A21)*Ventes!$F$5:$F$104)</f>
        <v/>
      </c>
      <c r="E21" s="26">
        <f>SUMPRODUCT((Ventes!$A$5:$A$104=$A21)*Ventes!$G$5:$G$104)</f>
        <v/>
      </c>
      <c r="F21" s="25">
        <f>COUNTIF(Achats!$A$5:$A$104,$A21)</f>
        <v/>
      </c>
      <c r="G21" s="25">
        <f>SUMIF(Achats!$A$5:$A$104,$A21,Achats!$D$5:$D$104)</f>
        <v/>
      </c>
    </row>
    <row r="22">
      <c r="A22" s="23" t="n">
        <v>46040</v>
      </c>
      <c r="B22" s="24" t="inlineStr">
        <is>
          <t>Dimanche</t>
        </is>
      </c>
      <c r="C22" s="25">
        <f>COUNTIF(Ventes!$A$5:$A$104,$A22)</f>
        <v/>
      </c>
      <c r="D22" s="26">
        <f>SUMPRODUCT((Ventes!$A$5:$A$104=$A22)*Ventes!$F$5:$F$104)</f>
        <v/>
      </c>
      <c r="E22" s="26">
        <f>SUMPRODUCT((Ventes!$A$5:$A$104=$A22)*Ventes!$G$5:$G$104)</f>
        <v/>
      </c>
      <c r="F22" s="25">
        <f>COUNTIF(Achats!$A$5:$A$104,$A22)</f>
        <v/>
      </c>
      <c r="G22" s="25">
        <f>SUMIF(Achats!$A$5:$A$104,$A22,Achats!$D$5:$D$104)</f>
        <v/>
      </c>
    </row>
    <row r="23">
      <c r="A23" s="10" t="n">
        <v>46041</v>
      </c>
      <c r="B23" s="9" t="inlineStr">
        <is>
          <t>Lundi</t>
        </is>
      </c>
      <c r="C23" s="18">
        <f>COUNTIF(Ventes!$A$5:$A$104,$A23)</f>
        <v/>
      </c>
      <c r="D23" s="11">
        <f>SUMPRODUCT((Ventes!$A$5:$A$104=$A23)*Ventes!$F$5:$F$104)</f>
        <v/>
      </c>
      <c r="E23" s="11">
        <f>SUMPRODUCT((Ventes!$A$5:$A$104=$A23)*Ventes!$G$5:$G$104)</f>
        <v/>
      </c>
      <c r="F23" s="18">
        <f>COUNTIF(Achats!$A$5:$A$104,$A23)</f>
        <v/>
      </c>
      <c r="G23" s="18">
        <f>SUMIF(Achats!$A$5:$A$104,$A23,Achats!$D$5:$D$104)</f>
        <v/>
      </c>
    </row>
    <row r="24">
      <c r="A24" s="10" t="n">
        <v>46042</v>
      </c>
      <c r="B24" s="9" t="inlineStr">
        <is>
          <t>Mardi</t>
        </is>
      </c>
      <c r="C24" s="18">
        <f>COUNTIF(Ventes!$A$5:$A$104,$A24)</f>
        <v/>
      </c>
      <c r="D24" s="11">
        <f>SUMPRODUCT((Ventes!$A$5:$A$104=$A24)*Ventes!$F$5:$F$104)</f>
        <v/>
      </c>
      <c r="E24" s="11">
        <f>SUMPRODUCT((Ventes!$A$5:$A$104=$A24)*Ventes!$G$5:$G$104)</f>
        <v/>
      </c>
      <c r="F24" s="18">
        <f>COUNTIF(Achats!$A$5:$A$104,$A24)</f>
        <v/>
      </c>
      <c r="G24" s="18">
        <f>SUMIF(Achats!$A$5:$A$104,$A24,Achats!$D$5:$D$104)</f>
        <v/>
      </c>
    </row>
    <row r="25">
      <c r="A25" s="10" t="n">
        <v>46043</v>
      </c>
      <c r="B25" s="9" t="inlineStr">
        <is>
          <t>Mercredi</t>
        </is>
      </c>
      <c r="C25" s="18">
        <f>COUNTIF(Ventes!$A$5:$A$104,$A25)</f>
        <v/>
      </c>
      <c r="D25" s="11">
        <f>SUMPRODUCT((Ventes!$A$5:$A$104=$A25)*Ventes!$F$5:$F$104)</f>
        <v/>
      </c>
      <c r="E25" s="11">
        <f>SUMPRODUCT((Ventes!$A$5:$A$104=$A25)*Ventes!$G$5:$G$104)</f>
        <v/>
      </c>
      <c r="F25" s="18">
        <f>COUNTIF(Achats!$A$5:$A$104,$A25)</f>
        <v/>
      </c>
      <c r="G25" s="18">
        <f>SUMIF(Achats!$A$5:$A$104,$A25,Achats!$D$5:$D$104)</f>
        <v/>
      </c>
    </row>
    <row r="26">
      <c r="A26" s="10" t="n">
        <v>46044</v>
      </c>
      <c r="B26" s="9" t="inlineStr">
        <is>
          <t>Jeudi</t>
        </is>
      </c>
      <c r="C26" s="18">
        <f>COUNTIF(Ventes!$A$5:$A$104,$A26)</f>
        <v/>
      </c>
      <c r="D26" s="11">
        <f>SUMPRODUCT((Ventes!$A$5:$A$104=$A26)*Ventes!$F$5:$F$104)</f>
        <v/>
      </c>
      <c r="E26" s="11">
        <f>SUMPRODUCT((Ventes!$A$5:$A$104=$A26)*Ventes!$G$5:$G$104)</f>
        <v/>
      </c>
      <c r="F26" s="18">
        <f>COUNTIF(Achats!$A$5:$A$104,$A26)</f>
        <v/>
      </c>
      <c r="G26" s="18">
        <f>SUMIF(Achats!$A$5:$A$104,$A26,Achats!$D$5:$D$104)</f>
        <v/>
      </c>
    </row>
    <row r="27">
      <c r="A27" s="10" t="n">
        <v>46045</v>
      </c>
      <c r="B27" s="9" t="inlineStr">
        <is>
          <t>Vendredi</t>
        </is>
      </c>
      <c r="C27" s="18">
        <f>COUNTIF(Ventes!$A$5:$A$104,$A27)</f>
        <v/>
      </c>
      <c r="D27" s="11">
        <f>SUMPRODUCT((Ventes!$A$5:$A$104=$A27)*Ventes!$F$5:$F$104)</f>
        <v/>
      </c>
      <c r="E27" s="11">
        <f>SUMPRODUCT((Ventes!$A$5:$A$104=$A27)*Ventes!$G$5:$G$104)</f>
        <v/>
      </c>
      <c r="F27" s="18">
        <f>COUNTIF(Achats!$A$5:$A$104,$A27)</f>
        <v/>
      </c>
      <c r="G27" s="18">
        <f>SUMIF(Achats!$A$5:$A$104,$A27,Achats!$D$5:$D$104)</f>
        <v/>
      </c>
    </row>
    <row r="28">
      <c r="A28" s="23" t="n">
        <v>46046</v>
      </c>
      <c r="B28" s="24" t="inlineStr">
        <is>
          <t>Samedi</t>
        </is>
      </c>
      <c r="C28" s="25">
        <f>COUNTIF(Ventes!$A$5:$A$104,$A28)</f>
        <v/>
      </c>
      <c r="D28" s="26">
        <f>SUMPRODUCT((Ventes!$A$5:$A$104=$A28)*Ventes!$F$5:$F$104)</f>
        <v/>
      </c>
      <c r="E28" s="26">
        <f>SUMPRODUCT((Ventes!$A$5:$A$104=$A28)*Ventes!$G$5:$G$104)</f>
        <v/>
      </c>
      <c r="F28" s="25">
        <f>COUNTIF(Achats!$A$5:$A$104,$A28)</f>
        <v/>
      </c>
      <c r="G28" s="25">
        <f>SUMIF(Achats!$A$5:$A$104,$A28,Achats!$D$5:$D$104)</f>
        <v/>
      </c>
    </row>
    <row r="29">
      <c r="A29" s="23" t="n">
        <v>46047</v>
      </c>
      <c r="B29" s="24" t="inlineStr">
        <is>
          <t>Dimanche</t>
        </is>
      </c>
      <c r="C29" s="25">
        <f>COUNTIF(Ventes!$A$5:$A$104,$A29)</f>
        <v/>
      </c>
      <c r="D29" s="26">
        <f>SUMPRODUCT((Ventes!$A$5:$A$104=$A29)*Ventes!$F$5:$F$104)</f>
        <v/>
      </c>
      <c r="E29" s="26">
        <f>SUMPRODUCT((Ventes!$A$5:$A$104=$A29)*Ventes!$G$5:$G$104)</f>
        <v/>
      </c>
      <c r="F29" s="25">
        <f>COUNTIF(Achats!$A$5:$A$104,$A29)</f>
        <v/>
      </c>
      <c r="G29" s="25">
        <f>SUMIF(Achats!$A$5:$A$104,$A29,Achats!$D$5:$D$104)</f>
        <v/>
      </c>
    </row>
    <row r="30">
      <c r="A30" s="10" t="n">
        <v>46048</v>
      </c>
      <c r="B30" s="9" t="inlineStr">
        <is>
          <t>Lundi</t>
        </is>
      </c>
      <c r="C30" s="18">
        <f>COUNTIF(Ventes!$A$5:$A$104,$A30)</f>
        <v/>
      </c>
      <c r="D30" s="11">
        <f>SUMPRODUCT((Ventes!$A$5:$A$104=$A30)*Ventes!$F$5:$F$104)</f>
        <v/>
      </c>
      <c r="E30" s="11">
        <f>SUMPRODUCT((Ventes!$A$5:$A$104=$A30)*Ventes!$G$5:$G$104)</f>
        <v/>
      </c>
      <c r="F30" s="18">
        <f>COUNTIF(Achats!$A$5:$A$104,$A30)</f>
        <v/>
      </c>
      <c r="G30" s="18">
        <f>SUMIF(Achats!$A$5:$A$104,$A30,Achats!$D$5:$D$104)</f>
        <v/>
      </c>
    </row>
    <row r="31">
      <c r="A31" s="10" t="n">
        <v>46049</v>
      </c>
      <c r="B31" s="9" t="inlineStr">
        <is>
          <t>Mardi</t>
        </is>
      </c>
      <c r="C31" s="18">
        <f>COUNTIF(Ventes!$A$5:$A$104,$A31)</f>
        <v/>
      </c>
      <c r="D31" s="11">
        <f>SUMPRODUCT((Ventes!$A$5:$A$104=$A31)*Ventes!$F$5:$F$104)</f>
        <v/>
      </c>
      <c r="E31" s="11">
        <f>SUMPRODUCT((Ventes!$A$5:$A$104=$A31)*Ventes!$G$5:$G$104)</f>
        <v/>
      </c>
      <c r="F31" s="18">
        <f>COUNTIF(Achats!$A$5:$A$104,$A31)</f>
        <v/>
      </c>
      <c r="G31" s="18">
        <f>SUMIF(Achats!$A$5:$A$104,$A31,Achats!$D$5:$D$104)</f>
        <v/>
      </c>
    </row>
    <row r="32">
      <c r="A32" s="10" t="n">
        <v>46050</v>
      </c>
      <c r="B32" s="9" t="inlineStr">
        <is>
          <t>Mercredi</t>
        </is>
      </c>
      <c r="C32" s="18">
        <f>COUNTIF(Ventes!$A$5:$A$104,$A32)</f>
        <v/>
      </c>
      <c r="D32" s="11">
        <f>SUMPRODUCT((Ventes!$A$5:$A$104=$A32)*Ventes!$F$5:$F$104)</f>
        <v/>
      </c>
      <c r="E32" s="11">
        <f>SUMPRODUCT((Ventes!$A$5:$A$104=$A32)*Ventes!$G$5:$G$104)</f>
        <v/>
      </c>
      <c r="F32" s="18">
        <f>COUNTIF(Achats!$A$5:$A$104,$A32)</f>
        <v/>
      </c>
      <c r="G32" s="18">
        <f>SUMIF(Achats!$A$5:$A$104,$A32,Achats!$D$5:$D$104)</f>
        <v/>
      </c>
    </row>
    <row r="33">
      <c r="A33" s="10" t="n">
        <v>46051</v>
      </c>
      <c r="B33" s="9" t="inlineStr">
        <is>
          <t>Jeudi</t>
        </is>
      </c>
      <c r="C33" s="18">
        <f>COUNTIF(Ventes!$A$5:$A$104,$A33)</f>
        <v/>
      </c>
      <c r="D33" s="11">
        <f>SUMPRODUCT((Ventes!$A$5:$A$104=$A33)*Ventes!$F$5:$F$104)</f>
        <v/>
      </c>
      <c r="E33" s="11">
        <f>SUMPRODUCT((Ventes!$A$5:$A$104=$A33)*Ventes!$G$5:$G$104)</f>
        <v/>
      </c>
      <c r="F33" s="18">
        <f>COUNTIF(Achats!$A$5:$A$104,$A33)</f>
        <v/>
      </c>
      <c r="G33" s="18">
        <f>SUMIF(Achats!$A$5:$A$104,$A33,Achats!$D$5:$D$104)</f>
        <v/>
      </c>
    </row>
    <row r="34">
      <c r="A34" s="10" t="n">
        <v>46052</v>
      </c>
      <c r="B34" s="9" t="inlineStr">
        <is>
          <t>Vendredi</t>
        </is>
      </c>
      <c r="C34" s="18">
        <f>COUNTIF(Ventes!$A$5:$A$104,$A34)</f>
        <v/>
      </c>
      <c r="D34" s="11">
        <f>SUMPRODUCT((Ventes!$A$5:$A$104=$A34)*Ventes!$F$5:$F$104)</f>
        <v/>
      </c>
      <c r="E34" s="11">
        <f>SUMPRODUCT((Ventes!$A$5:$A$104=$A34)*Ventes!$G$5:$G$104)</f>
        <v/>
      </c>
      <c r="F34" s="18">
        <f>COUNTIF(Achats!$A$5:$A$104,$A34)</f>
        <v/>
      </c>
      <c r="G34" s="18">
        <f>SUMIF(Achats!$A$5:$A$104,$A34,Achats!$D$5:$D$104)</f>
        <v/>
      </c>
    </row>
    <row r="35">
      <c r="A35" s="23" t="n">
        <v>46053</v>
      </c>
      <c r="B35" s="24" t="inlineStr">
        <is>
          <t>Samedi</t>
        </is>
      </c>
      <c r="C35" s="25">
        <f>COUNTIF(Ventes!$A$5:$A$104,$A35)</f>
        <v/>
      </c>
      <c r="D35" s="26">
        <f>SUMPRODUCT((Ventes!$A$5:$A$104=$A35)*Ventes!$F$5:$F$104)</f>
        <v/>
      </c>
      <c r="E35" s="26">
        <f>SUMPRODUCT((Ventes!$A$5:$A$104=$A35)*Ventes!$G$5:$G$104)</f>
        <v/>
      </c>
      <c r="F35" s="25">
        <f>COUNTIF(Achats!$A$5:$A$104,$A35)</f>
        <v/>
      </c>
      <c r="G35" s="25">
        <f>SUMIF(Achats!$A$5:$A$104,$A35,Achats!$D$5:$D$104)</f>
        <v/>
      </c>
    </row>
    <row r="36">
      <c r="A36" s="23" t="n">
        <v>46054</v>
      </c>
      <c r="B36" s="24" t="inlineStr">
        <is>
          <t>Dimanche</t>
        </is>
      </c>
      <c r="C36" s="25">
        <f>COUNTIF(Ventes!$A$5:$A$104,$A36)</f>
        <v/>
      </c>
      <c r="D36" s="26">
        <f>SUMPRODUCT((Ventes!$A$5:$A$104=$A36)*Ventes!$F$5:$F$104)</f>
        <v/>
      </c>
      <c r="E36" s="26">
        <f>SUMPRODUCT((Ventes!$A$5:$A$104=$A36)*Ventes!$G$5:$G$104)</f>
        <v/>
      </c>
      <c r="F36" s="25">
        <f>COUNTIF(Achats!$A$5:$A$104,$A36)</f>
        <v/>
      </c>
      <c r="G36" s="25">
        <f>SUMIF(Achats!$A$5:$A$104,$A36,Achats!$D$5:$D$104)</f>
        <v/>
      </c>
    </row>
    <row r="37">
      <c r="A37" s="10" t="n">
        <v>46055</v>
      </c>
      <c r="B37" s="9" t="inlineStr">
        <is>
          <t>Lundi</t>
        </is>
      </c>
      <c r="C37" s="18">
        <f>COUNTIF(Ventes!$A$5:$A$104,$A37)</f>
        <v/>
      </c>
      <c r="D37" s="11">
        <f>SUMPRODUCT((Ventes!$A$5:$A$104=$A37)*Ventes!$F$5:$F$104)</f>
        <v/>
      </c>
      <c r="E37" s="11">
        <f>SUMPRODUCT((Ventes!$A$5:$A$104=$A37)*Ventes!$G$5:$G$104)</f>
        <v/>
      </c>
      <c r="F37" s="18">
        <f>COUNTIF(Achats!$A$5:$A$104,$A37)</f>
        <v/>
      </c>
      <c r="G37" s="18">
        <f>SUMIF(Achats!$A$5:$A$104,$A37,Achats!$D$5:$D$104)</f>
        <v/>
      </c>
    </row>
    <row r="38">
      <c r="A38" s="10" t="n">
        <v>46056</v>
      </c>
      <c r="B38" s="9" t="inlineStr">
        <is>
          <t>Mardi</t>
        </is>
      </c>
      <c r="C38" s="18">
        <f>COUNTIF(Ventes!$A$5:$A$104,$A38)</f>
        <v/>
      </c>
      <c r="D38" s="11">
        <f>SUMPRODUCT((Ventes!$A$5:$A$104=$A38)*Ventes!$F$5:$F$104)</f>
        <v/>
      </c>
      <c r="E38" s="11">
        <f>SUMPRODUCT((Ventes!$A$5:$A$104=$A38)*Ventes!$G$5:$G$104)</f>
        <v/>
      </c>
      <c r="F38" s="18">
        <f>COUNTIF(Achats!$A$5:$A$104,$A38)</f>
        <v/>
      </c>
      <c r="G38" s="18">
        <f>SUMIF(Achats!$A$5:$A$104,$A38,Achats!$D$5:$D$104)</f>
        <v/>
      </c>
    </row>
    <row r="39">
      <c r="A39" s="10" t="n">
        <v>46057</v>
      </c>
      <c r="B39" s="9" t="inlineStr">
        <is>
          <t>Mercredi</t>
        </is>
      </c>
      <c r="C39" s="18">
        <f>COUNTIF(Ventes!$A$5:$A$104,$A39)</f>
        <v/>
      </c>
      <c r="D39" s="11">
        <f>SUMPRODUCT((Ventes!$A$5:$A$104=$A39)*Ventes!$F$5:$F$104)</f>
        <v/>
      </c>
      <c r="E39" s="11">
        <f>SUMPRODUCT((Ventes!$A$5:$A$104=$A39)*Ventes!$G$5:$G$104)</f>
        <v/>
      </c>
      <c r="F39" s="18">
        <f>COUNTIF(Achats!$A$5:$A$104,$A39)</f>
        <v/>
      </c>
      <c r="G39" s="18">
        <f>SUMIF(Achats!$A$5:$A$104,$A39,Achats!$D$5:$D$104)</f>
        <v/>
      </c>
    </row>
    <row r="40">
      <c r="A40" s="10" t="n">
        <v>46058</v>
      </c>
      <c r="B40" s="9" t="inlineStr">
        <is>
          <t>Jeudi</t>
        </is>
      </c>
      <c r="C40" s="18">
        <f>COUNTIF(Ventes!$A$5:$A$104,$A40)</f>
        <v/>
      </c>
      <c r="D40" s="11">
        <f>SUMPRODUCT((Ventes!$A$5:$A$104=$A40)*Ventes!$F$5:$F$104)</f>
        <v/>
      </c>
      <c r="E40" s="11">
        <f>SUMPRODUCT((Ventes!$A$5:$A$104=$A40)*Ventes!$G$5:$G$104)</f>
        <v/>
      </c>
      <c r="F40" s="18">
        <f>COUNTIF(Achats!$A$5:$A$104,$A40)</f>
        <v/>
      </c>
      <c r="G40" s="18">
        <f>SUMIF(Achats!$A$5:$A$104,$A40,Achats!$D$5:$D$104)</f>
        <v/>
      </c>
    </row>
    <row r="41">
      <c r="A41" s="10" t="n">
        <v>46059</v>
      </c>
      <c r="B41" s="9" t="inlineStr">
        <is>
          <t>Vendredi</t>
        </is>
      </c>
      <c r="C41" s="18">
        <f>COUNTIF(Ventes!$A$5:$A$104,$A41)</f>
        <v/>
      </c>
      <c r="D41" s="11">
        <f>SUMPRODUCT((Ventes!$A$5:$A$104=$A41)*Ventes!$F$5:$F$104)</f>
        <v/>
      </c>
      <c r="E41" s="11">
        <f>SUMPRODUCT((Ventes!$A$5:$A$104=$A41)*Ventes!$G$5:$G$104)</f>
        <v/>
      </c>
      <c r="F41" s="18">
        <f>COUNTIF(Achats!$A$5:$A$104,$A41)</f>
        <v/>
      </c>
      <c r="G41" s="18">
        <f>SUMIF(Achats!$A$5:$A$104,$A41,Achats!$D$5:$D$104)</f>
        <v/>
      </c>
    </row>
    <row r="42">
      <c r="A42" s="23" t="n">
        <v>46060</v>
      </c>
      <c r="B42" s="24" t="inlineStr">
        <is>
          <t>Samedi</t>
        </is>
      </c>
      <c r="C42" s="25">
        <f>COUNTIF(Ventes!$A$5:$A$104,$A42)</f>
        <v/>
      </c>
      <c r="D42" s="26">
        <f>SUMPRODUCT((Ventes!$A$5:$A$104=$A42)*Ventes!$F$5:$F$104)</f>
        <v/>
      </c>
      <c r="E42" s="26">
        <f>SUMPRODUCT((Ventes!$A$5:$A$104=$A42)*Ventes!$G$5:$G$104)</f>
        <v/>
      </c>
      <c r="F42" s="25">
        <f>COUNTIF(Achats!$A$5:$A$104,$A42)</f>
        <v/>
      </c>
      <c r="G42" s="25">
        <f>SUMIF(Achats!$A$5:$A$104,$A42,Achats!$D$5:$D$104)</f>
        <v/>
      </c>
    </row>
    <row r="43">
      <c r="A43" s="23" t="n">
        <v>46061</v>
      </c>
      <c r="B43" s="24" t="inlineStr">
        <is>
          <t>Dimanche</t>
        </is>
      </c>
      <c r="C43" s="25">
        <f>COUNTIF(Ventes!$A$5:$A$104,$A43)</f>
        <v/>
      </c>
      <c r="D43" s="26">
        <f>SUMPRODUCT((Ventes!$A$5:$A$104=$A43)*Ventes!$F$5:$F$104)</f>
        <v/>
      </c>
      <c r="E43" s="26">
        <f>SUMPRODUCT((Ventes!$A$5:$A$104=$A43)*Ventes!$G$5:$G$104)</f>
        <v/>
      </c>
      <c r="F43" s="25">
        <f>COUNTIF(Achats!$A$5:$A$104,$A43)</f>
        <v/>
      </c>
      <c r="G43" s="25">
        <f>SUMIF(Achats!$A$5:$A$104,$A43,Achats!$D$5:$D$104)</f>
        <v/>
      </c>
    </row>
    <row r="44">
      <c r="A44" s="10" t="n">
        <v>46062</v>
      </c>
      <c r="B44" s="9" t="inlineStr">
        <is>
          <t>Lundi</t>
        </is>
      </c>
      <c r="C44" s="18">
        <f>COUNTIF(Ventes!$A$5:$A$104,$A44)</f>
        <v/>
      </c>
      <c r="D44" s="11">
        <f>SUMPRODUCT((Ventes!$A$5:$A$104=$A44)*Ventes!$F$5:$F$104)</f>
        <v/>
      </c>
      <c r="E44" s="11">
        <f>SUMPRODUCT((Ventes!$A$5:$A$104=$A44)*Ventes!$G$5:$G$104)</f>
        <v/>
      </c>
      <c r="F44" s="18">
        <f>COUNTIF(Achats!$A$5:$A$104,$A44)</f>
        <v/>
      </c>
      <c r="G44" s="18">
        <f>SUMIF(Achats!$A$5:$A$104,$A44,Achats!$D$5:$D$104)</f>
        <v/>
      </c>
    </row>
    <row r="45">
      <c r="A45" s="10" t="n">
        <v>46063</v>
      </c>
      <c r="B45" s="9" t="inlineStr">
        <is>
          <t>Mardi</t>
        </is>
      </c>
      <c r="C45" s="18">
        <f>COUNTIF(Ventes!$A$5:$A$104,$A45)</f>
        <v/>
      </c>
      <c r="D45" s="11">
        <f>SUMPRODUCT((Ventes!$A$5:$A$104=$A45)*Ventes!$F$5:$F$104)</f>
        <v/>
      </c>
      <c r="E45" s="11">
        <f>SUMPRODUCT((Ventes!$A$5:$A$104=$A45)*Ventes!$G$5:$G$104)</f>
        <v/>
      </c>
      <c r="F45" s="18">
        <f>COUNTIF(Achats!$A$5:$A$104,$A45)</f>
        <v/>
      </c>
      <c r="G45" s="18">
        <f>SUMIF(Achats!$A$5:$A$104,$A45,Achats!$D$5:$D$104)</f>
        <v/>
      </c>
    </row>
    <row r="46">
      <c r="A46" s="10" t="n">
        <v>46064</v>
      </c>
      <c r="B46" s="9" t="inlineStr">
        <is>
          <t>Mercredi</t>
        </is>
      </c>
      <c r="C46" s="18">
        <f>COUNTIF(Ventes!$A$5:$A$104,$A46)</f>
        <v/>
      </c>
      <c r="D46" s="11">
        <f>SUMPRODUCT((Ventes!$A$5:$A$104=$A46)*Ventes!$F$5:$F$104)</f>
        <v/>
      </c>
      <c r="E46" s="11">
        <f>SUMPRODUCT((Ventes!$A$5:$A$104=$A46)*Ventes!$G$5:$G$104)</f>
        <v/>
      </c>
      <c r="F46" s="18">
        <f>COUNTIF(Achats!$A$5:$A$104,$A46)</f>
        <v/>
      </c>
      <c r="G46" s="18">
        <f>SUMIF(Achats!$A$5:$A$104,$A46,Achats!$D$5:$D$104)</f>
        <v/>
      </c>
    </row>
    <row r="47">
      <c r="A47" s="10" t="n">
        <v>46065</v>
      </c>
      <c r="B47" s="9" t="inlineStr">
        <is>
          <t>Jeudi</t>
        </is>
      </c>
      <c r="C47" s="18">
        <f>COUNTIF(Ventes!$A$5:$A$104,$A47)</f>
        <v/>
      </c>
      <c r="D47" s="11">
        <f>SUMPRODUCT((Ventes!$A$5:$A$104=$A47)*Ventes!$F$5:$F$104)</f>
        <v/>
      </c>
      <c r="E47" s="11">
        <f>SUMPRODUCT((Ventes!$A$5:$A$104=$A47)*Ventes!$G$5:$G$104)</f>
        <v/>
      </c>
      <c r="F47" s="18">
        <f>COUNTIF(Achats!$A$5:$A$104,$A47)</f>
        <v/>
      </c>
      <c r="G47" s="18">
        <f>SUMIF(Achats!$A$5:$A$104,$A47,Achats!$D$5:$D$104)</f>
        <v/>
      </c>
    </row>
    <row r="48">
      <c r="A48" s="10" t="n">
        <v>46066</v>
      </c>
      <c r="B48" s="9" t="inlineStr">
        <is>
          <t>Vendredi</t>
        </is>
      </c>
      <c r="C48" s="18">
        <f>COUNTIF(Ventes!$A$5:$A$104,$A48)</f>
        <v/>
      </c>
      <c r="D48" s="11">
        <f>SUMPRODUCT((Ventes!$A$5:$A$104=$A48)*Ventes!$F$5:$F$104)</f>
        <v/>
      </c>
      <c r="E48" s="11">
        <f>SUMPRODUCT((Ventes!$A$5:$A$104=$A48)*Ventes!$G$5:$G$104)</f>
        <v/>
      </c>
      <c r="F48" s="18">
        <f>COUNTIF(Achats!$A$5:$A$104,$A48)</f>
        <v/>
      </c>
      <c r="G48" s="18">
        <f>SUMIF(Achats!$A$5:$A$104,$A48,Achats!$D$5:$D$104)</f>
        <v/>
      </c>
    </row>
    <row r="49">
      <c r="A49" s="23" t="n">
        <v>46067</v>
      </c>
      <c r="B49" s="24" t="inlineStr">
        <is>
          <t>Samedi</t>
        </is>
      </c>
      <c r="C49" s="25">
        <f>COUNTIF(Ventes!$A$5:$A$104,$A49)</f>
        <v/>
      </c>
      <c r="D49" s="26">
        <f>SUMPRODUCT((Ventes!$A$5:$A$104=$A49)*Ventes!$F$5:$F$104)</f>
        <v/>
      </c>
      <c r="E49" s="26">
        <f>SUMPRODUCT((Ventes!$A$5:$A$104=$A49)*Ventes!$G$5:$G$104)</f>
        <v/>
      </c>
      <c r="F49" s="25">
        <f>COUNTIF(Achats!$A$5:$A$104,$A49)</f>
        <v/>
      </c>
      <c r="G49" s="25">
        <f>SUMIF(Achats!$A$5:$A$104,$A49,Achats!$D$5:$D$104)</f>
        <v/>
      </c>
    </row>
    <row r="50">
      <c r="A50" s="23" t="n">
        <v>46068</v>
      </c>
      <c r="B50" s="24" t="inlineStr">
        <is>
          <t>Dimanche</t>
        </is>
      </c>
      <c r="C50" s="25">
        <f>COUNTIF(Ventes!$A$5:$A$104,$A50)</f>
        <v/>
      </c>
      <c r="D50" s="26">
        <f>SUMPRODUCT((Ventes!$A$5:$A$104=$A50)*Ventes!$F$5:$F$104)</f>
        <v/>
      </c>
      <c r="E50" s="26">
        <f>SUMPRODUCT((Ventes!$A$5:$A$104=$A50)*Ventes!$G$5:$G$104)</f>
        <v/>
      </c>
      <c r="F50" s="25">
        <f>COUNTIF(Achats!$A$5:$A$104,$A50)</f>
        <v/>
      </c>
      <c r="G50" s="25">
        <f>SUMIF(Achats!$A$5:$A$104,$A50,Achats!$D$5:$D$104)</f>
        <v/>
      </c>
    </row>
    <row r="51">
      <c r="A51" s="10" t="n">
        <v>46069</v>
      </c>
      <c r="B51" s="9" t="inlineStr">
        <is>
          <t>Lundi</t>
        </is>
      </c>
      <c r="C51" s="18">
        <f>COUNTIF(Ventes!$A$5:$A$104,$A51)</f>
        <v/>
      </c>
      <c r="D51" s="11">
        <f>SUMPRODUCT((Ventes!$A$5:$A$104=$A51)*Ventes!$F$5:$F$104)</f>
        <v/>
      </c>
      <c r="E51" s="11">
        <f>SUMPRODUCT((Ventes!$A$5:$A$104=$A51)*Ventes!$G$5:$G$104)</f>
        <v/>
      </c>
      <c r="F51" s="18">
        <f>COUNTIF(Achats!$A$5:$A$104,$A51)</f>
        <v/>
      </c>
      <c r="G51" s="18">
        <f>SUMIF(Achats!$A$5:$A$104,$A51,Achats!$D$5:$D$104)</f>
        <v/>
      </c>
    </row>
    <row r="52">
      <c r="A52" s="10" t="n">
        <v>46070</v>
      </c>
      <c r="B52" s="9" t="inlineStr">
        <is>
          <t>Mardi</t>
        </is>
      </c>
      <c r="C52" s="18">
        <f>COUNTIF(Ventes!$A$5:$A$104,$A52)</f>
        <v/>
      </c>
      <c r="D52" s="11">
        <f>SUMPRODUCT((Ventes!$A$5:$A$104=$A52)*Ventes!$F$5:$F$104)</f>
        <v/>
      </c>
      <c r="E52" s="11">
        <f>SUMPRODUCT((Ventes!$A$5:$A$104=$A52)*Ventes!$G$5:$G$104)</f>
        <v/>
      </c>
      <c r="F52" s="18">
        <f>COUNTIF(Achats!$A$5:$A$104,$A52)</f>
        <v/>
      </c>
      <c r="G52" s="18">
        <f>SUMIF(Achats!$A$5:$A$104,$A52,Achats!$D$5:$D$104)</f>
        <v/>
      </c>
    </row>
    <row r="53">
      <c r="A53" s="10" t="n">
        <v>46071</v>
      </c>
      <c r="B53" s="9" t="inlineStr">
        <is>
          <t>Mercredi</t>
        </is>
      </c>
      <c r="C53" s="18">
        <f>COUNTIF(Ventes!$A$5:$A$104,$A53)</f>
        <v/>
      </c>
      <c r="D53" s="11">
        <f>SUMPRODUCT((Ventes!$A$5:$A$104=$A53)*Ventes!$F$5:$F$104)</f>
        <v/>
      </c>
      <c r="E53" s="11">
        <f>SUMPRODUCT((Ventes!$A$5:$A$104=$A53)*Ventes!$G$5:$G$104)</f>
        <v/>
      </c>
      <c r="F53" s="18">
        <f>COUNTIF(Achats!$A$5:$A$104,$A53)</f>
        <v/>
      </c>
      <c r="G53" s="18">
        <f>SUMIF(Achats!$A$5:$A$104,$A53,Achats!$D$5:$D$104)</f>
        <v/>
      </c>
    </row>
    <row r="54">
      <c r="A54" s="10" t="n">
        <v>46072</v>
      </c>
      <c r="B54" s="9" t="inlineStr">
        <is>
          <t>Jeudi</t>
        </is>
      </c>
      <c r="C54" s="18">
        <f>COUNTIF(Ventes!$A$5:$A$104,$A54)</f>
        <v/>
      </c>
      <c r="D54" s="11">
        <f>SUMPRODUCT((Ventes!$A$5:$A$104=$A54)*Ventes!$F$5:$F$104)</f>
        <v/>
      </c>
      <c r="E54" s="11">
        <f>SUMPRODUCT((Ventes!$A$5:$A$104=$A54)*Ventes!$G$5:$G$104)</f>
        <v/>
      </c>
      <c r="F54" s="18">
        <f>COUNTIF(Achats!$A$5:$A$104,$A54)</f>
        <v/>
      </c>
      <c r="G54" s="18">
        <f>SUMIF(Achats!$A$5:$A$104,$A54,Achats!$D$5:$D$104)</f>
        <v/>
      </c>
    </row>
    <row r="55">
      <c r="A55" s="10" t="n">
        <v>46073</v>
      </c>
      <c r="B55" s="9" t="inlineStr">
        <is>
          <t>Vendredi</t>
        </is>
      </c>
      <c r="C55" s="18">
        <f>COUNTIF(Ventes!$A$5:$A$104,$A55)</f>
        <v/>
      </c>
      <c r="D55" s="11">
        <f>SUMPRODUCT((Ventes!$A$5:$A$104=$A55)*Ventes!$F$5:$F$104)</f>
        <v/>
      </c>
      <c r="E55" s="11">
        <f>SUMPRODUCT((Ventes!$A$5:$A$104=$A55)*Ventes!$G$5:$G$104)</f>
        <v/>
      </c>
      <c r="F55" s="18">
        <f>COUNTIF(Achats!$A$5:$A$104,$A55)</f>
        <v/>
      </c>
      <c r="G55" s="18">
        <f>SUMIF(Achats!$A$5:$A$104,$A55,Achats!$D$5:$D$104)</f>
        <v/>
      </c>
    </row>
    <row r="56">
      <c r="A56" s="23" t="n">
        <v>46074</v>
      </c>
      <c r="B56" s="24" t="inlineStr">
        <is>
          <t>Samedi</t>
        </is>
      </c>
      <c r="C56" s="25">
        <f>COUNTIF(Ventes!$A$5:$A$104,$A56)</f>
        <v/>
      </c>
      <c r="D56" s="26">
        <f>SUMPRODUCT((Ventes!$A$5:$A$104=$A56)*Ventes!$F$5:$F$104)</f>
        <v/>
      </c>
      <c r="E56" s="26">
        <f>SUMPRODUCT((Ventes!$A$5:$A$104=$A56)*Ventes!$G$5:$G$104)</f>
        <v/>
      </c>
      <c r="F56" s="25">
        <f>COUNTIF(Achats!$A$5:$A$104,$A56)</f>
        <v/>
      </c>
      <c r="G56" s="25">
        <f>SUMIF(Achats!$A$5:$A$104,$A56,Achats!$D$5:$D$104)</f>
        <v/>
      </c>
    </row>
    <row r="57">
      <c r="A57" s="23" t="n">
        <v>46075</v>
      </c>
      <c r="B57" s="24" t="inlineStr">
        <is>
          <t>Dimanche</t>
        </is>
      </c>
      <c r="C57" s="25">
        <f>COUNTIF(Ventes!$A$5:$A$104,$A57)</f>
        <v/>
      </c>
      <c r="D57" s="26">
        <f>SUMPRODUCT((Ventes!$A$5:$A$104=$A57)*Ventes!$F$5:$F$104)</f>
        <v/>
      </c>
      <c r="E57" s="26">
        <f>SUMPRODUCT((Ventes!$A$5:$A$104=$A57)*Ventes!$G$5:$G$104)</f>
        <v/>
      </c>
      <c r="F57" s="25">
        <f>COUNTIF(Achats!$A$5:$A$104,$A57)</f>
        <v/>
      </c>
      <c r="G57" s="25">
        <f>SUMIF(Achats!$A$5:$A$104,$A57,Achats!$D$5:$D$104)</f>
        <v/>
      </c>
    </row>
    <row r="58">
      <c r="A58" s="10" t="n">
        <v>46076</v>
      </c>
      <c r="B58" s="9" t="inlineStr">
        <is>
          <t>Lundi</t>
        </is>
      </c>
      <c r="C58" s="18">
        <f>COUNTIF(Ventes!$A$5:$A$104,$A58)</f>
        <v/>
      </c>
      <c r="D58" s="11">
        <f>SUMPRODUCT((Ventes!$A$5:$A$104=$A58)*Ventes!$F$5:$F$104)</f>
        <v/>
      </c>
      <c r="E58" s="11">
        <f>SUMPRODUCT((Ventes!$A$5:$A$104=$A58)*Ventes!$G$5:$G$104)</f>
        <v/>
      </c>
      <c r="F58" s="18">
        <f>COUNTIF(Achats!$A$5:$A$104,$A58)</f>
        <v/>
      </c>
      <c r="G58" s="18">
        <f>SUMIF(Achats!$A$5:$A$104,$A58,Achats!$D$5:$D$104)</f>
        <v/>
      </c>
    </row>
    <row r="59">
      <c r="A59" s="10" t="n">
        <v>46077</v>
      </c>
      <c r="B59" s="9" t="inlineStr">
        <is>
          <t>Mardi</t>
        </is>
      </c>
      <c r="C59" s="18">
        <f>COUNTIF(Ventes!$A$5:$A$104,$A59)</f>
        <v/>
      </c>
      <c r="D59" s="11">
        <f>SUMPRODUCT((Ventes!$A$5:$A$104=$A59)*Ventes!$F$5:$F$104)</f>
        <v/>
      </c>
      <c r="E59" s="11">
        <f>SUMPRODUCT((Ventes!$A$5:$A$104=$A59)*Ventes!$G$5:$G$104)</f>
        <v/>
      </c>
      <c r="F59" s="18">
        <f>COUNTIF(Achats!$A$5:$A$104,$A59)</f>
        <v/>
      </c>
      <c r="G59" s="18">
        <f>SUMIF(Achats!$A$5:$A$104,$A59,Achats!$D$5:$D$104)</f>
        <v/>
      </c>
    </row>
    <row r="60">
      <c r="A60" s="10" t="n">
        <v>46078</v>
      </c>
      <c r="B60" s="9" t="inlineStr">
        <is>
          <t>Mercredi</t>
        </is>
      </c>
      <c r="C60" s="18">
        <f>COUNTIF(Ventes!$A$5:$A$104,$A60)</f>
        <v/>
      </c>
      <c r="D60" s="11">
        <f>SUMPRODUCT((Ventes!$A$5:$A$104=$A60)*Ventes!$F$5:$F$104)</f>
        <v/>
      </c>
      <c r="E60" s="11">
        <f>SUMPRODUCT((Ventes!$A$5:$A$104=$A60)*Ventes!$G$5:$G$104)</f>
        <v/>
      </c>
      <c r="F60" s="18">
        <f>COUNTIF(Achats!$A$5:$A$104,$A60)</f>
        <v/>
      </c>
      <c r="G60" s="18">
        <f>SUMIF(Achats!$A$5:$A$104,$A60,Achats!$D$5:$D$104)</f>
        <v/>
      </c>
    </row>
    <row r="61">
      <c r="A61" s="10" t="n">
        <v>46079</v>
      </c>
      <c r="B61" s="9" t="inlineStr">
        <is>
          <t>Jeudi</t>
        </is>
      </c>
      <c r="C61" s="18">
        <f>COUNTIF(Ventes!$A$5:$A$104,$A61)</f>
        <v/>
      </c>
      <c r="D61" s="11">
        <f>SUMPRODUCT((Ventes!$A$5:$A$104=$A61)*Ventes!$F$5:$F$104)</f>
        <v/>
      </c>
      <c r="E61" s="11">
        <f>SUMPRODUCT((Ventes!$A$5:$A$104=$A61)*Ventes!$G$5:$G$104)</f>
        <v/>
      </c>
      <c r="F61" s="18">
        <f>COUNTIF(Achats!$A$5:$A$104,$A61)</f>
        <v/>
      </c>
      <c r="G61" s="18">
        <f>SUMIF(Achats!$A$5:$A$104,$A61,Achats!$D$5:$D$104)</f>
        <v/>
      </c>
    </row>
    <row r="62">
      <c r="A62" s="10" t="n">
        <v>46080</v>
      </c>
      <c r="B62" s="9" t="inlineStr">
        <is>
          <t>Vendredi</t>
        </is>
      </c>
      <c r="C62" s="18">
        <f>COUNTIF(Ventes!$A$5:$A$104,$A62)</f>
        <v/>
      </c>
      <c r="D62" s="11">
        <f>SUMPRODUCT((Ventes!$A$5:$A$104=$A62)*Ventes!$F$5:$F$104)</f>
        <v/>
      </c>
      <c r="E62" s="11">
        <f>SUMPRODUCT((Ventes!$A$5:$A$104=$A62)*Ventes!$G$5:$G$104)</f>
        <v/>
      </c>
      <c r="F62" s="18">
        <f>COUNTIF(Achats!$A$5:$A$104,$A62)</f>
        <v/>
      </c>
      <c r="G62" s="18">
        <f>SUMIF(Achats!$A$5:$A$104,$A62,Achats!$D$5:$D$104)</f>
        <v/>
      </c>
    </row>
    <row r="63">
      <c r="A63" s="23" t="n">
        <v>46081</v>
      </c>
      <c r="B63" s="24" t="inlineStr">
        <is>
          <t>Samedi</t>
        </is>
      </c>
      <c r="C63" s="25">
        <f>COUNTIF(Ventes!$A$5:$A$104,$A63)</f>
        <v/>
      </c>
      <c r="D63" s="26">
        <f>SUMPRODUCT((Ventes!$A$5:$A$104=$A63)*Ventes!$F$5:$F$104)</f>
        <v/>
      </c>
      <c r="E63" s="26">
        <f>SUMPRODUCT((Ventes!$A$5:$A$104=$A63)*Ventes!$G$5:$G$104)</f>
        <v/>
      </c>
      <c r="F63" s="25">
        <f>COUNTIF(Achats!$A$5:$A$104,$A63)</f>
        <v/>
      </c>
      <c r="G63" s="25">
        <f>SUMIF(Achats!$A$5:$A$104,$A63,Achats!$D$5:$D$104)</f>
        <v/>
      </c>
    </row>
    <row r="64">
      <c r="A64" s="23" t="n">
        <v>46082</v>
      </c>
      <c r="B64" s="24" t="inlineStr">
        <is>
          <t>Dimanche</t>
        </is>
      </c>
      <c r="C64" s="25">
        <f>COUNTIF(Ventes!$A$5:$A$104,$A64)</f>
        <v/>
      </c>
      <c r="D64" s="26">
        <f>SUMPRODUCT((Ventes!$A$5:$A$104=$A64)*Ventes!$F$5:$F$104)</f>
        <v/>
      </c>
      <c r="E64" s="26">
        <f>SUMPRODUCT((Ventes!$A$5:$A$104=$A64)*Ventes!$G$5:$G$104)</f>
        <v/>
      </c>
      <c r="F64" s="25">
        <f>COUNTIF(Achats!$A$5:$A$104,$A64)</f>
        <v/>
      </c>
      <c r="G64" s="25">
        <f>SUMIF(Achats!$A$5:$A$104,$A64,Achats!$D$5:$D$104)</f>
        <v/>
      </c>
    </row>
    <row r="65">
      <c r="A65" s="10" t="n">
        <v>46083</v>
      </c>
      <c r="B65" s="9" t="inlineStr">
        <is>
          <t>Lundi</t>
        </is>
      </c>
      <c r="C65" s="18">
        <f>COUNTIF(Ventes!$A$5:$A$104,$A65)</f>
        <v/>
      </c>
      <c r="D65" s="11">
        <f>SUMPRODUCT((Ventes!$A$5:$A$104=$A65)*Ventes!$F$5:$F$104)</f>
        <v/>
      </c>
      <c r="E65" s="11">
        <f>SUMPRODUCT((Ventes!$A$5:$A$104=$A65)*Ventes!$G$5:$G$104)</f>
        <v/>
      </c>
      <c r="F65" s="18">
        <f>COUNTIF(Achats!$A$5:$A$104,$A65)</f>
        <v/>
      </c>
      <c r="G65" s="18">
        <f>SUMIF(Achats!$A$5:$A$104,$A65,Achats!$D$5:$D$104)</f>
        <v/>
      </c>
    </row>
    <row r="66">
      <c r="A66" s="10" t="n">
        <v>46084</v>
      </c>
      <c r="B66" s="9" t="inlineStr">
        <is>
          <t>Mardi</t>
        </is>
      </c>
      <c r="C66" s="18">
        <f>COUNTIF(Ventes!$A$5:$A$104,$A66)</f>
        <v/>
      </c>
      <c r="D66" s="11">
        <f>SUMPRODUCT((Ventes!$A$5:$A$104=$A66)*Ventes!$F$5:$F$104)</f>
        <v/>
      </c>
      <c r="E66" s="11">
        <f>SUMPRODUCT((Ventes!$A$5:$A$104=$A66)*Ventes!$G$5:$G$104)</f>
        <v/>
      </c>
      <c r="F66" s="18">
        <f>COUNTIF(Achats!$A$5:$A$104,$A66)</f>
        <v/>
      </c>
      <c r="G66" s="18">
        <f>SUMIF(Achats!$A$5:$A$104,$A66,Achats!$D$5:$D$104)</f>
        <v/>
      </c>
    </row>
    <row r="67">
      <c r="A67" s="10" t="n">
        <v>46085</v>
      </c>
      <c r="B67" s="9" t="inlineStr">
        <is>
          <t>Mercredi</t>
        </is>
      </c>
      <c r="C67" s="18">
        <f>COUNTIF(Ventes!$A$5:$A$104,$A67)</f>
        <v/>
      </c>
      <c r="D67" s="11">
        <f>SUMPRODUCT((Ventes!$A$5:$A$104=$A67)*Ventes!$F$5:$F$104)</f>
        <v/>
      </c>
      <c r="E67" s="11">
        <f>SUMPRODUCT((Ventes!$A$5:$A$104=$A67)*Ventes!$G$5:$G$104)</f>
        <v/>
      </c>
      <c r="F67" s="18">
        <f>COUNTIF(Achats!$A$5:$A$104,$A67)</f>
        <v/>
      </c>
      <c r="G67" s="18">
        <f>SUMIF(Achats!$A$5:$A$104,$A67,Achats!$D$5:$D$104)</f>
        <v/>
      </c>
    </row>
    <row r="68">
      <c r="A68" s="10" t="n">
        <v>46086</v>
      </c>
      <c r="B68" s="9" t="inlineStr">
        <is>
          <t>Jeudi</t>
        </is>
      </c>
      <c r="C68" s="18">
        <f>COUNTIF(Ventes!$A$5:$A$104,$A68)</f>
        <v/>
      </c>
      <c r="D68" s="11">
        <f>SUMPRODUCT((Ventes!$A$5:$A$104=$A68)*Ventes!$F$5:$F$104)</f>
        <v/>
      </c>
      <c r="E68" s="11">
        <f>SUMPRODUCT((Ventes!$A$5:$A$104=$A68)*Ventes!$G$5:$G$104)</f>
        <v/>
      </c>
      <c r="F68" s="18">
        <f>COUNTIF(Achats!$A$5:$A$104,$A68)</f>
        <v/>
      </c>
      <c r="G68" s="18">
        <f>SUMIF(Achats!$A$5:$A$104,$A68,Achats!$D$5:$D$104)</f>
        <v/>
      </c>
    </row>
    <row r="69">
      <c r="A69" s="10" t="n">
        <v>46087</v>
      </c>
      <c r="B69" s="9" t="inlineStr">
        <is>
          <t>Vendredi</t>
        </is>
      </c>
      <c r="C69" s="18">
        <f>COUNTIF(Ventes!$A$5:$A$104,$A69)</f>
        <v/>
      </c>
      <c r="D69" s="11">
        <f>SUMPRODUCT((Ventes!$A$5:$A$104=$A69)*Ventes!$F$5:$F$104)</f>
        <v/>
      </c>
      <c r="E69" s="11">
        <f>SUMPRODUCT((Ventes!$A$5:$A$104=$A69)*Ventes!$G$5:$G$104)</f>
        <v/>
      </c>
      <c r="F69" s="18">
        <f>COUNTIF(Achats!$A$5:$A$104,$A69)</f>
        <v/>
      </c>
      <c r="G69" s="18">
        <f>SUMIF(Achats!$A$5:$A$104,$A69,Achats!$D$5:$D$104)</f>
        <v/>
      </c>
    </row>
    <row r="70">
      <c r="A70" s="23" t="n">
        <v>46088</v>
      </c>
      <c r="B70" s="24" t="inlineStr">
        <is>
          <t>Samedi</t>
        </is>
      </c>
      <c r="C70" s="25">
        <f>COUNTIF(Ventes!$A$5:$A$104,$A70)</f>
        <v/>
      </c>
      <c r="D70" s="26">
        <f>SUMPRODUCT((Ventes!$A$5:$A$104=$A70)*Ventes!$F$5:$F$104)</f>
        <v/>
      </c>
      <c r="E70" s="26">
        <f>SUMPRODUCT((Ventes!$A$5:$A$104=$A70)*Ventes!$G$5:$G$104)</f>
        <v/>
      </c>
      <c r="F70" s="25">
        <f>COUNTIF(Achats!$A$5:$A$104,$A70)</f>
        <v/>
      </c>
      <c r="G70" s="25">
        <f>SUMIF(Achats!$A$5:$A$104,$A70,Achats!$D$5:$D$104)</f>
        <v/>
      </c>
    </row>
    <row r="71">
      <c r="A71" s="23" t="n">
        <v>46089</v>
      </c>
      <c r="B71" s="24" t="inlineStr">
        <is>
          <t>Dimanche</t>
        </is>
      </c>
      <c r="C71" s="25">
        <f>COUNTIF(Ventes!$A$5:$A$104,$A71)</f>
        <v/>
      </c>
      <c r="D71" s="26">
        <f>SUMPRODUCT((Ventes!$A$5:$A$104=$A71)*Ventes!$F$5:$F$104)</f>
        <v/>
      </c>
      <c r="E71" s="26">
        <f>SUMPRODUCT((Ventes!$A$5:$A$104=$A71)*Ventes!$G$5:$G$104)</f>
        <v/>
      </c>
      <c r="F71" s="25">
        <f>COUNTIF(Achats!$A$5:$A$104,$A71)</f>
        <v/>
      </c>
      <c r="G71" s="25">
        <f>SUMIF(Achats!$A$5:$A$104,$A71,Achats!$D$5:$D$104)</f>
        <v/>
      </c>
    </row>
    <row r="72">
      <c r="A72" s="10" t="n">
        <v>46090</v>
      </c>
      <c r="B72" s="9" t="inlineStr">
        <is>
          <t>Lundi</t>
        </is>
      </c>
      <c r="C72" s="18">
        <f>COUNTIF(Ventes!$A$5:$A$104,$A72)</f>
        <v/>
      </c>
      <c r="D72" s="11">
        <f>SUMPRODUCT((Ventes!$A$5:$A$104=$A72)*Ventes!$F$5:$F$104)</f>
        <v/>
      </c>
      <c r="E72" s="11">
        <f>SUMPRODUCT((Ventes!$A$5:$A$104=$A72)*Ventes!$G$5:$G$104)</f>
        <v/>
      </c>
      <c r="F72" s="18">
        <f>COUNTIF(Achats!$A$5:$A$104,$A72)</f>
        <v/>
      </c>
      <c r="G72" s="18">
        <f>SUMIF(Achats!$A$5:$A$104,$A72,Achats!$D$5:$D$104)</f>
        <v/>
      </c>
    </row>
    <row r="73">
      <c r="A73" s="10" t="n">
        <v>46091</v>
      </c>
      <c r="B73" s="9" t="inlineStr">
        <is>
          <t>Mardi</t>
        </is>
      </c>
      <c r="C73" s="18">
        <f>COUNTIF(Ventes!$A$5:$A$104,$A73)</f>
        <v/>
      </c>
      <c r="D73" s="11">
        <f>SUMPRODUCT((Ventes!$A$5:$A$104=$A73)*Ventes!$F$5:$F$104)</f>
        <v/>
      </c>
      <c r="E73" s="11">
        <f>SUMPRODUCT((Ventes!$A$5:$A$104=$A73)*Ventes!$G$5:$G$104)</f>
        <v/>
      </c>
      <c r="F73" s="18">
        <f>COUNTIF(Achats!$A$5:$A$104,$A73)</f>
        <v/>
      </c>
      <c r="G73" s="18">
        <f>SUMIF(Achats!$A$5:$A$104,$A73,Achats!$D$5:$D$104)</f>
        <v/>
      </c>
    </row>
    <row r="74">
      <c r="A74" s="10" t="n">
        <v>46092</v>
      </c>
      <c r="B74" s="9" t="inlineStr">
        <is>
          <t>Mercredi</t>
        </is>
      </c>
      <c r="C74" s="18">
        <f>COUNTIF(Ventes!$A$5:$A$104,$A74)</f>
        <v/>
      </c>
      <c r="D74" s="11">
        <f>SUMPRODUCT((Ventes!$A$5:$A$104=$A74)*Ventes!$F$5:$F$104)</f>
        <v/>
      </c>
      <c r="E74" s="11">
        <f>SUMPRODUCT((Ventes!$A$5:$A$104=$A74)*Ventes!$G$5:$G$104)</f>
        <v/>
      </c>
      <c r="F74" s="18">
        <f>COUNTIF(Achats!$A$5:$A$104,$A74)</f>
        <v/>
      </c>
      <c r="G74" s="18">
        <f>SUMIF(Achats!$A$5:$A$104,$A74,Achats!$D$5:$D$104)</f>
        <v/>
      </c>
    </row>
    <row r="75">
      <c r="A75" s="10" t="n">
        <v>46093</v>
      </c>
      <c r="B75" s="9" t="inlineStr">
        <is>
          <t>Jeudi</t>
        </is>
      </c>
      <c r="C75" s="18">
        <f>COUNTIF(Ventes!$A$5:$A$104,$A75)</f>
        <v/>
      </c>
      <c r="D75" s="11">
        <f>SUMPRODUCT((Ventes!$A$5:$A$104=$A75)*Ventes!$F$5:$F$104)</f>
        <v/>
      </c>
      <c r="E75" s="11">
        <f>SUMPRODUCT((Ventes!$A$5:$A$104=$A75)*Ventes!$G$5:$G$104)</f>
        <v/>
      </c>
      <c r="F75" s="18">
        <f>COUNTIF(Achats!$A$5:$A$104,$A75)</f>
        <v/>
      </c>
      <c r="G75" s="18">
        <f>SUMIF(Achats!$A$5:$A$104,$A75,Achats!$D$5:$D$104)</f>
        <v/>
      </c>
    </row>
    <row r="76">
      <c r="A76" s="10" t="n">
        <v>46094</v>
      </c>
      <c r="B76" s="9" t="inlineStr">
        <is>
          <t>Vendredi</t>
        </is>
      </c>
      <c r="C76" s="18">
        <f>COUNTIF(Ventes!$A$5:$A$104,$A76)</f>
        <v/>
      </c>
      <c r="D76" s="11">
        <f>SUMPRODUCT((Ventes!$A$5:$A$104=$A76)*Ventes!$F$5:$F$104)</f>
        <v/>
      </c>
      <c r="E76" s="11">
        <f>SUMPRODUCT((Ventes!$A$5:$A$104=$A76)*Ventes!$G$5:$G$104)</f>
        <v/>
      </c>
      <c r="F76" s="18">
        <f>COUNTIF(Achats!$A$5:$A$104,$A76)</f>
        <v/>
      </c>
      <c r="G76" s="18">
        <f>SUMIF(Achats!$A$5:$A$104,$A76,Achats!$D$5:$D$104)</f>
        <v/>
      </c>
    </row>
    <row r="77">
      <c r="A77" s="23" t="n">
        <v>46095</v>
      </c>
      <c r="B77" s="24" t="inlineStr">
        <is>
          <t>Samedi</t>
        </is>
      </c>
      <c r="C77" s="25">
        <f>COUNTIF(Ventes!$A$5:$A$104,$A77)</f>
        <v/>
      </c>
      <c r="D77" s="26">
        <f>SUMPRODUCT((Ventes!$A$5:$A$104=$A77)*Ventes!$F$5:$F$104)</f>
        <v/>
      </c>
      <c r="E77" s="26">
        <f>SUMPRODUCT((Ventes!$A$5:$A$104=$A77)*Ventes!$G$5:$G$104)</f>
        <v/>
      </c>
      <c r="F77" s="25">
        <f>COUNTIF(Achats!$A$5:$A$104,$A77)</f>
        <v/>
      </c>
      <c r="G77" s="25">
        <f>SUMIF(Achats!$A$5:$A$104,$A77,Achats!$D$5:$D$104)</f>
        <v/>
      </c>
    </row>
    <row r="78">
      <c r="A78" s="23" t="n">
        <v>46096</v>
      </c>
      <c r="B78" s="24" t="inlineStr">
        <is>
          <t>Dimanche</t>
        </is>
      </c>
      <c r="C78" s="25">
        <f>COUNTIF(Ventes!$A$5:$A$104,$A78)</f>
        <v/>
      </c>
      <c r="D78" s="26">
        <f>SUMPRODUCT((Ventes!$A$5:$A$104=$A78)*Ventes!$F$5:$F$104)</f>
        <v/>
      </c>
      <c r="E78" s="26">
        <f>SUMPRODUCT((Ventes!$A$5:$A$104=$A78)*Ventes!$G$5:$G$104)</f>
        <v/>
      </c>
      <c r="F78" s="25">
        <f>COUNTIF(Achats!$A$5:$A$104,$A78)</f>
        <v/>
      </c>
      <c r="G78" s="25">
        <f>SUMIF(Achats!$A$5:$A$104,$A78,Achats!$D$5:$D$104)</f>
        <v/>
      </c>
    </row>
    <row r="79">
      <c r="A79" s="10" t="n">
        <v>46097</v>
      </c>
      <c r="B79" s="9" t="inlineStr">
        <is>
          <t>Lundi</t>
        </is>
      </c>
      <c r="C79" s="18">
        <f>COUNTIF(Ventes!$A$5:$A$104,$A79)</f>
        <v/>
      </c>
      <c r="D79" s="11">
        <f>SUMPRODUCT((Ventes!$A$5:$A$104=$A79)*Ventes!$F$5:$F$104)</f>
        <v/>
      </c>
      <c r="E79" s="11">
        <f>SUMPRODUCT((Ventes!$A$5:$A$104=$A79)*Ventes!$G$5:$G$104)</f>
        <v/>
      </c>
      <c r="F79" s="18">
        <f>COUNTIF(Achats!$A$5:$A$104,$A79)</f>
        <v/>
      </c>
      <c r="G79" s="18">
        <f>SUMIF(Achats!$A$5:$A$104,$A79,Achats!$D$5:$D$104)</f>
        <v/>
      </c>
    </row>
    <row r="80">
      <c r="A80" s="10" t="n">
        <v>46098</v>
      </c>
      <c r="B80" s="9" t="inlineStr">
        <is>
          <t>Mardi</t>
        </is>
      </c>
      <c r="C80" s="18">
        <f>COUNTIF(Ventes!$A$5:$A$104,$A80)</f>
        <v/>
      </c>
      <c r="D80" s="11">
        <f>SUMPRODUCT((Ventes!$A$5:$A$104=$A80)*Ventes!$F$5:$F$104)</f>
        <v/>
      </c>
      <c r="E80" s="11">
        <f>SUMPRODUCT((Ventes!$A$5:$A$104=$A80)*Ventes!$G$5:$G$104)</f>
        <v/>
      </c>
      <c r="F80" s="18">
        <f>COUNTIF(Achats!$A$5:$A$104,$A80)</f>
        <v/>
      </c>
      <c r="G80" s="18">
        <f>SUMIF(Achats!$A$5:$A$104,$A80,Achats!$D$5:$D$104)</f>
        <v/>
      </c>
    </row>
    <row r="81">
      <c r="A81" s="10" t="n">
        <v>46099</v>
      </c>
      <c r="B81" s="9" t="inlineStr">
        <is>
          <t>Mercredi</t>
        </is>
      </c>
      <c r="C81" s="18">
        <f>COUNTIF(Ventes!$A$5:$A$104,$A81)</f>
        <v/>
      </c>
      <c r="D81" s="11">
        <f>SUMPRODUCT((Ventes!$A$5:$A$104=$A81)*Ventes!$F$5:$F$104)</f>
        <v/>
      </c>
      <c r="E81" s="11">
        <f>SUMPRODUCT((Ventes!$A$5:$A$104=$A81)*Ventes!$G$5:$G$104)</f>
        <v/>
      </c>
      <c r="F81" s="18">
        <f>COUNTIF(Achats!$A$5:$A$104,$A81)</f>
        <v/>
      </c>
      <c r="G81" s="18">
        <f>SUMIF(Achats!$A$5:$A$104,$A81,Achats!$D$5:$D$104)</f>
        <v/>
      </c>
    </row>
    <row r="82">
      <c r="A82" s="10" t="n">
        <v>46100</v>
      </c>
      <c r="B82" s="9" t="inlineStr">
        <is>
          <t>Jeudi</t>
        </is>
      </c>
      <c r="C82" s="18">
        <f>COUNTIF(Ventes!$A$5:$A$104,$A82)</f>
        <v/>
      </c>
      <c r="D82" s="11">
        <f>SUMPRODUCT((Ventes!$A$5:$A$104=$A82)*Ventes!$F$5:$F$104)</f>
        <v/>
      </c>
      <c r="E82" s="11">
        <f>SUMPRODUCT((Ventes!$A$5:$A$104=$A82)*Ventes!$G$5:$G$104)</f>
        <v/>
      </c>
      <c r="F82" s="18">
        <f>COUNTIF(Achats!$A$5:$A$104,$A82)</f>
        <v/>
      </c>
      <c r="G82" s="18">
        <f>SUMIF(Achats!$A$5:$A$104,$A82,Achats!$D$5:$D$104)</f>
        <v/>
      </c>
    </row>
    <row r="83">
      <c r="A83" s="10" t="n">
        <v>46101</v>
      </c>
      <c r="B83" s="9" t="inlineStr">
        <is>
          <t>Vendredi</t>
        </is>
      </c>
      <c r="C83" s="18">
        <f>COUNTIF(Ventes!$A$5:$A$104,$A83)</f>
        <v/>
      </c>
      <c r="D83" s="11">
        <f>SUMPRODUCT((Ventes!$A$5:$A$104=$A83)*Ventes!$F$5:$F$104)</f>
        <v/>
      </c>
      <c r="E83" s="11">
        <f>SUMPRODUCT((Ventes!$A$5:$A$104=$A83)*Ventes!$G$5:$G$104)</f>
        <v/>
      </c>
      <c r="F83" s="18">
        <f>COUNTIF(Achats!$A$5:$A$104,$A83)</f>
        <v/>
      </c>
      <c r="G83" s="18">
        <f>SUMIF(Achats!$A$5:$A$104,$A83,Achats!$D$5:$D$104)</f>
        <v/>
      </c>
    </row>
    <row r="84">
      <c r="A84" s="23" t="n">
        <v>46102</v>
      </c>
      <c r="B84" s="24" t="inlineStr">
        <is>
          <t>Samedi</t>
        </is>
      </c>
      <c r="C84" s="25">
        <f>COUNTIF(Ventes!$A$5:$A$104,$A84)</f>
        <v/>
      </c>
      <c r="D84" s="26">
        <f>SUMPRODUCT((Ventes!$A$5:$A$104=$A84)*Ventes!$F$5:$F$104)</f>
        <v/>
      </c>
      <c r="E84" s="26">
        <f>SUMPRODUCT((Ventes!$A$5:$A$104=$A84)*Ventes!$G$5:$G$104)</f>
        <v/>
      </c>
      <c r="F84" s="25">
        <f>COUNTIF(Achats!$A$5:$A$104,$A84)</f>
        <v/>
      </c>
      <c r="G84" s="25">
        <f>SUMIF(Achats!$A$5:$A$104,$A84,Achats!$D$5:$D$104)</f>
        <v/>
      </c>
    </row>
    <row r="85">
      <c r="A85" s="23" t="n">
        <v>46103</v>
      </c>
      <c r="B85" s="24" t="inlineStr">
        <is>
          <t>Dimanche</t>
        </is>
      </c>
      <c r="C85" s="25">
        <f>COUNTIF(Ventes!$A$5:$A$104,$A85)</f>
        <v/>
      </c>
      <c r="D85" s="26">
        <f>SUMPRODUCT((Ventes!$A$5:$A$104=$A85)*Ventes!$F$5:$F$104)</f>
        <v/>
      </c>
      <c r="E85" s="26">
        <f>SUMPRODUCT((Ventes!$A$5:$A$104=$A85)*Ventes!$G$5:$G$104)</f>
        <v/>
      </c>
      <c r="F85" s="25">
        <f>COUNTIF(Achats!$A$5:$A$104,$A85)</f>
        <v/>
      </c>
      <c r="G85" s="25">
        <f>SUMIF(Achats!$A$5:$A$104,$A85,Achats!$D$5:$D$104)</f>
        <v/>
      </c>
    </row>
    <row r="86">
      <c r="A86" s="10" t="n">
        <v>46104</v>
      </c>
      <c r="B86" s="9" t="inlineStr">
        <is>
          <t>Lundi</t>
        </is>
      </c>
      <c r="C86" s="18">
        <f>COUNTIF(Ventes!$A$5:$A$104,$A86)</f>
        <v/>
      </c>
      <c r="D86" s="11">
        <f>SUMPRODUCT((Ventes!$A$5:$A$104=$A86)*Ventes!$F$5:$F$104)</f>
        <v/>
      </c>
      <c r="E86" s="11">
        <f>SUMPRODUCT((Ventes!$A$5:$A$104=$A86)*Ventes!$G$5:$G$104)</f>
        <v/>
      </c>
      <c r="F86" s="18">
        <f>COUNTIF(Achats!$A$5:$A$104,$A86)</f>
        <v/>
      </c>
      <c r="G86" s="18">
        <f>SUMIF(Achats!$A$5:$A$104,$A86,Achats!$D$5:$D$104)</f>
        <v/>
      </c>
    </row>
    <row r="87">
      <c r="A87" s="10" t="n">
        <v>46105</v>
      </c>
      <c r="B87" s="9" t="inlineStr">
        <is>
          <t>Mardi</t>
        </is>
      </c>
      <c r="C87" s="18">
        <f>COUNTIF(Ventes!$A$5:$A$104,$A87)</f>
        <v/>
      </c>
      <c r="D87" s="11">
        <f>SUMPRODUCT((Ventes!$A$5:$A$104=$A87)*Ventes!$F$5:$F$104)</f>
        <v/>
      </c>
      <c r="E87" s="11">
        <f>SUMPRODUCT((Ventes!$A$5:$A$104=$A87)*Ventes!$G$5:$G$104)</f>
        <v/>
      </c>
      <c r="F87" s="18">
        <f>COUNTIF(Achats!$A$5:$A$104,$A87)</f>
        <v/>
      </c>
      <c r="G87" s="18">
        <f>SUMIF(Achats!$A$5:$A$104,$A87,Achats!$D$5:$D$104)</f>
        <v/>
      </c>
    </row>
    <row r="88">
      <c r="A88" s="10" t="n">
        <v>46106</v>
      </c>
      <c r="B88" s="9" t="inlineStr">
        <is>
          <t>Mercredi</t>
        </is>
      </c>
      <c r="C88" s="18">
        <f>COUNTIF(Ventes!$A$5:$A$104,$A88)</f>
        <v/>
      </c>
      <c r="D88" s="11">
        <f>SUMPRODUCT((Ventes!$A$5:$A$104=$A88)*Ventes!$F$5:$F$104)</f>
        <v/>
      </c>
      <c r="E88" s="11">
        <f>SUMPRODUCT((Ventes!$A$5:$A$104=$A88)*Ventes!$G$5:$G$104)</f>
        <v/>
      </c>
      <c r="F88" s="18">
        <f>COUNTIF(Achats!$A$5:$A$104,$A88)</f>
        <v/>
      </c>
      <c r="G88" s="18">
        <f>SUMIF(Achats!$A$5:$A$104,$A88,Achats!$D$5:$D$104)</f>
        <v/>
      </c>
    </row>
    <row r="89">
      <c r="A89" s="10" t="n">
        <v>46107</v>
      </c>
      <c r="B89" s="9" t="inlineStr">
        <is>
          <t>Jeudi</t>
        </is>
      </c>
      <c r="C89" s="18">
        <f>COUNTIF(Ventes!$A$5:$A$104,$A89)</f>
        <v/>
      </c>
      <c r="D89" s="11">
        <f>SUMPRODUCT((Ventes!$A$5:$A$104=$A89)*Ventes!$F$5:$F$104)</f>
        <v/>
      </c>
      <c r="E89" s="11">
        <f>SUMPRODUCT((Ventes!$A$5:$A$104=$A89)*Ventes!$G$5:$G$104)</f>
        <v/>
      </c>
      <c r="F89" s="18">
        <f>COUNTIF(Achats!$A$5:$A$104,$A89)</f>
        <v/>
      </c>
      <c r="G89" s="18">
        <f>SUMIF(Achats!$A$5:$A$104,$A89,Achats!$D$5:$D$104)</f>
        <v/>
      </c>
    </row>
    <row r="90">
      <c r="A90" s="10" t="n">
        <v>46108</v>
      </c>
      <c r="B90" s="9" t="inlineStr">
        <is>
          <t>Vendredi</t>
        </is>
      </c>
      <c r="C90" s="18">
        <f>COUNTIF(Ventes!$A$5:$A$104,$A90)</f>
        <v/>
      </c>
      <c r="D90" s="11">
        <f>SUMPRODUCT((Ventes!$A$5:$A$104=$A90)*Ventes!$F$5:$F$104)</f>
        <v/>
      </c>
      <c r="E90" s="11">
        <f>SUMPRODUCT((Ventes!$A$5:$A$104=$A90)*Ventes!$G$5:$G$104)</f>
        <v/>
      </c>
      <c r="F90" s="18">
        <f>COUNTIF(Achats!$A$5:$A$104,$A90)</f>
        <v/>
      </c>
      <c r="G90" s="18">
        <f>SUMIF(Achats!$A$5:$A$104,$A90,Achats!$D$5:$D$104)</f>
        <v/>
      </c>
    </row>
    <row r="91">
      <c r="A91" s="23" t="n">
        <v>46109</v>
      </c>
      <c r="B91" s="24" t="inlineStr">
        <is>
          <t>Samedi</t>
        </is>
      </c>
      <c r="C91" s="25">
        <f>COUNTIF(Ventes!$A$5:$A$104,$A91)</f>
        <v/>
      </c>
      <c r="D91" s="26">
        <f>SUMPRODUCT((Ventes!$A$5:$A$104=$A91)*Ventes!$F$5:$F$104)</f>
        <v/>
      </c>
      <c r="E91" s="26">
        <f>SUMPRODUCT((Ventes!$A$5:$A$104=$A91)*Ventes!$G$5:$G$104)</f>
        <v/>
      </c>
      <c r="F91" s="25">
        <f>COUNTIF(Achats!$A$5:$A$104,$A91)</f>
        <v/>
      </c>
      <c r="G91" s="25">
        <f>SUMIF(Achats!$A$5:$A$104,$A91,Achats!$D$5:$D$104)</f>
        <v/>
      </c>
    </row>
    <row r="92">
      <c r="A92" s="23" t="n">
        <v>46110</v>
      </c>
      <c r="B92" s="24" t="inlineStr">
        <is>
          <t>Dimanche</t>
        </is>
      </c>
      <c r="C92" s="25">
        <f>COUNTIF(Ventes!$A$5:$A$104,$A92)</f>
        <v/>
      </c>
      <c r="D92" s="26">
        <f>SUMPRODUCT((Ventes!$A$5:$A$104=$A92)*Ventes!$F$5:$F$104)</f>
        <v/>
      </c>
      <c r="E92" s="26">
        <f>SUMPRODUCT((Ventes!$A$5:$A$104=$A92)*Ventes!$G$5:$G$104)</f>
        <v/>
      </c>
      <c r="F92" s="25">
        <f>COUNTIF(Achats!$A$5:$A$104,$A92)</f>
        <v/>
      </c>
      <c r="G92" s="25">
        <f>SUMIF(Achats!$A$5:$A$104,$A92,Achats!$D$5:$D$104)</f>
        <v/>
      </c>
    </row>
    <row r="93">
      <c r="A93" s="10" t="n">
        <v>46111</v>
      </c>
      <c r="B93" s="9" t="inlineStr">
        <is>
          <t>Lundi</t>
        </is>
      </c>
      <c r="C93" s="18">
        <f>COUNTIF(Ventes!$A$5:$A$104,$A93)</f>
        <v/>
      </c>
      <c r="D93" s="11">
        <f>SUMPRODUCT((Ventes!$A$5:$A$104=$A93)*Ventes!$F$5:$F$104)</f>
        <v/>
      </c>
      <c r="E93" s="11">
        <f>SUMPRODUCT((Ventes!$A$5:$A$104=$A93)*Ventes!$G$5:$G$104)</f>
        <v/>
      </c>
      <c r="F93" s="18">
        <f>COUNTIF(Achats!$A$5:$A$104,$A93)</f>
        <v/>
      </c>
      <c r="G93" s="18">
        <f>SUMIF(Achats!$A$5:$A$104,$A93,Achats!$D$5:$D$104)</f>
        <v/>
      </c>
    </row>
    <row r="94">
      <c r="A94" s="10" t="n">
        <v>46112</v>
      </c>
      <c r="B94" s="9" t="inlineStr">
        <is>
          <t>Mardi</t>
        </is>
      </c>
      <c r="C94" s="18">
        <f>COUNTIF(Ventes!$A$5:$A$104,$A94)</f>
        <v/>
      </c>
      <c r="D94" s="11">
        <f>SUMPRODUCT((Ventes!$A$5:$A$104=$A94)*Ventes!$F$5:$F$104)</f>
        <v/>
      </c>
      <c r="E94" s="11">
        <f>SUMPRODUCT((Ventes!$A$5:$A$104=$A94)*Ventes!$G$5:$G$104)</f>
        <v/>
      </c>
      <c r="F94" s="18">
        <f>COUNTIF(Achats!$A$5:$A$104,$A94)</f>
        <v/>
      </c>
      <c r="G94" s="18">
        <f>SUMIF(Achats!$A$5:$A$104,$A94,Achats!$D$5:$D$104)</f>
        <v/>
      </c>
    </row>
    <row r="95">
      <c r="A95" s="10" t="n">
        <v>46113</v>
      </c>
      <c r="B95" s="9" t="inlineStr">
        <is>
          <t>Mercredi</t>
        </is>
      </c>
      <c r="C95" s="18">
        <f>COUNTIF(Ventes!$A$5:$A$104,$A95)</f>
        <v/>
      </c>
      <c r="D95" s="11">
        <f>SUMPRODUCT((Ventes!$A$5:$A$104=$A95)*Ventes!$F$5:$F$104)</f>
        <v/>
      </c>
      <c r="E95" s="11">
        <f>SUMPRODUCT((Ventes!$A$5:$A$104=$A95)*Ventes!$G$5:$G$104)</f>
        <v/>
      </c>
      <c r="F95" s="18">
        <f>COUNTIF(Achats!$A$5:$A$104,$A95)</f>
        <v/>
      </c>
      <c r="G95" s="18">
        <f>SUMIF(Achats!$A$5:$A$104,$A95,Achats!$D$5:$D$104)</f>
        <v/>
      </c>
    </row>
    <row r="96">
      <c r="A96" s="10" t="n">
        <v>46114</v>
      </c>
      <c r="B96" s="9" t="inlineStr">
        <is>
          <t>Jeudi</t>
        </is>
      </c>
      <c r="C96" s="18">
        <f>COUNTIF(Ventes!$A$5:$A$104,$A96)</f>
        <v/>
      </c>
      <c r="D96" s="11">
        <f>SUMPRODUCT((Ventes!$A$5:$A$104=$A96)*Ventes!$F$5:$F$104)</f>
        <v/>
      </c>
      <c r="E96" s="11">
        <f>SUMPRODUCT((Ventes!$A$5:$A$104=$A96)*Ventes!$G$5:$G$104)</f>
        <v/>
      </c>
      <c r="F96" s="18">
        <f>COUNTIF(Achats!$A$5:$A$104,$A96)</f>
        <v/>
      </c>
      <c r="G96" s="18">
        <f>SUMIF(Achats!$A$5:$A$104,$A96,Achats!$D$5:$D$104)</f>
        <v/>
      </c>
    </row>
    <row r="97">
      <c r="A97" s="10" t="n">
        <v>46115</v>
      </c>
      <c r="B97" s="9" t="inlineStr">
        <is>
          <t>Vendredi</t>
        </is>
      </c>
      <c r="C97" s="18">
        <f>COUNTIF(Ventes!$A$5:$A$104,$A97)</f>
        <v/>
      </c>
      <c r="D97" s="11">
        <f>SUMPRODUCT((Ventes!$A$5:$A$104=$A97)*Ventes!$F$5:$F$104)</f>
        <v/>
      </c>
      <c r="E97" s="11">
        <f>SUMPRODUCT((Ventes!$A$5:$A$104=$A97)*Ventes!$G$5:$G$104)</f>
        <v/>
      </c>
      <c r="F97" s="18">
        <f>COUNTIF(Achats!$A$5:$A$104,$A97)</f>
        <v/>
      </c>
      <c r="G97" s="18">
        <f>SUMIF(Achats!$A$5:$A$104,$A97,Achats!$D$5:$D$104)</f>
        <v/>
      </c>
    </row>
    <row r="98">
      <c r="A98" s="23" t="n">
        <v>46116</v>
      </c>
      <c r="B98" s="24" t="inlineStr">
        <is>
          <t>Samedi</t>
        </is>
      </c>
      <c r="C98" s="25">
        <f>COUNTIF(Ventes!$A$5:$A$104,$A98)</f>
        <v/>
      </c>
      <c r="D98" s="26">
        <f>SUMPRODUCT((Ventes!$A$5:$A$104=$A98)*Ventes!$F$5:$F$104)</f>
        <v/>
      </c>
      <c r="E98" s="26">
        <f>SUMPRODUCT((Ventes!$A$5:$A$104=$A98)*Ventes!$G$5:$G$104)</f>
        <v/>
      </c>
      <c r="F98" s="25">
        <f>COUNTIF(Achats!$A$5:$A$104,$A98)</f>
        <v/>
      </c>
      <c r="G98" s="25">
        <f>SUMIF(Achats!$A$5:$A$104,$A98,Achats!$D$5:$D$104)</f>
        <v/>
      </c>
    </row>
    <row r="99">
      <c r="A99" s="23" t="n">
        <v>46117</v>
      </c>
      <c r="B99" s="24" t="inlineStr">
        <is>
          <t>Dimanche</t>
        </is>
      </c>
      <c r="C99" s="25">
        <f>COUNTIF(Ventes!$A$5:$A$104,$A99)</f>
        <v/>
      </c>
      <c r="D99" s="26">
        <f>SUMPRODUCT((Ventes!$A$5:$A$104=$A99)*Ventes!$F$5:$F$104)</f>
        <v/>
      </c>
      <c r="E99" s="26">
        <f>SUMPRODUCT((Ventes!$A$5:$A$104=$A99)*Ventes!$G$5:$G$104)</f>
        <v/>
      </c>
      <c r="F99" s="25">
        <f>COUNTIF(Achats!$A$5:$A$104,$A99)</f>
        <v/>
      </c>
      <c r="G99" s="25">
        <f>SUMIF(Achats!$A$5:$A$104,$A99,Achats!$D$5:$D$104)</f>
        <v/>
      </c>
    </row>
    <row r="100">
      <c r="A100" s="10" t="n">
        <v>46118</v>
      </c>
      <c r="B100" s="9" t="inlineStr">
        <is>
          <t>Lundi</t>
        </is>
      </c>
      <c r="C100" s="18">
        <f>COUNTIF(Ventes!$A$5:$A$104,$A100)</f>
        <v/>
      </c>
      <c r="D100" s="11">
        <f>SUMPRODUCT((Ventes!$A$5:$A$104=$A100)*Ventes!$F$5:$F$104)</f>
        <v/>
      </c>
      <c r="E100" s="11">
        <f>SUMPRODUCT((Ventes!$A$5:$A$104=$A100)*Ventes!$G$5:$G$104)</f>
        <v/>
      </c>
      <c r="F100" s="18">
        <f>COUNTIF(Achats!$A$5:$A$104,$A100)</f>
        <v/>
      </c>
      <c r="G100" s="18">
        <f>SUMIF(Achats!$A$5:$A$104,$A100,Achats!$D$5:$D$104)</f>
        <v/>
      </c>
    </row>
    <row r="101">
      <c r="A101" s="10" t="n">
        <v>46119</v>
      </c>
      <c r="B101" s="9" t="inlineStr">
        <is>
          <t>Mardi</t>
        </is>
      </c>
      <c r="C101" s="18">
        <f>COUNTIF(Ventes!$A$5:$A$104,$A101)</f>
        <v/>
      </c>
      <c r="D101" s="11">
        <f>SUMPRODUCT((Ventes!$A$5:$A$104=$A101)*Ventes!$F$5:$F$104)</f>
        <v/>
      </c>
      <c r="E101" s="11">
        <f>SUMPRODUCT((Ventes!$A$5:$A$104=$A101)*Ventes!$G$5:$G$104)</f>
        <v/>
      </c>
      <c r="F101" s="18">
        <f>COUNTIF(Achats!$A$5:$A$104,$A101)</f>
        <v/>
      </c>
      <c r="G101" s="18">
        <f>SUMIF(Achats!$A$5:$A$104,$A101,Achats!$D$5:$D$104)</f>
        <v/>
      </c>
    </row>
    <row r="102">
      <c r="A102" s="10" t="n">
        <v>46120</v>
      </c>
      <c r="B102" s="9" t="inlineStr">
        <is>
          <t>Mercredi</t>
        </is>
      </c>
      <c r="C102" s="18">
        <f>COUNTIF(Ventes!$A$5:$A$104,$A102)</f>
        <v/>
      </c>
      <c r="D102" s="11">
        <f>SUMPRODUCT((Ventes!$A$5:$A$104=$A102)*Ventes!$F$5:$F$104)</f>
        <v/>
      </c>
      <c r="E102" s="11">
        <f>SUMPRODUCT((Ventes!$A$5:$A$104=$A102)*Ventes!$G$5:$G$104)</f>
        <v/>
      </c>
      <c r="F102" s="18">
        <f>COUNTIF(Achats!$A$5:$A$104,$A102)</f>
        <v/>
      </c>
      <c r="G102" s="18">
        <f>SUMIF(Achats!$A$5:$A$104,$A102,Achats!$D$5:$D$104)</f>
        <v/>
      </c>
    </row>
    <row r="103">
      <c r="A103" s="10" t="n">
        <v>46121</v>
      </c>
      <c r="B103" s="9" t="inlineStr">
        <is>
          <t>Jeudi</t>
        </is>
      </c>
      <c r="C103" s="18">
        <f>COUNTIF(Ventes!$A$5:$A$104,$A103)</f>
        <v/>
      </c>
      <c r="D103" s="11">
        <f>SUMPRODUCT((Ventes!$A$5:$A$104=$A103)*Ventes!$F$5:$F$104)</f>
        <v/>
      </c>
      <c r="E103" s="11">
        <f>SUMPRODUCT((Ventes!$A$5:$A$104=$A103)*Ventes!$G$5:$G$104)</f>
        <v/>
      </c>
      <c r="F103" s="18">
        <f>COUNTIF(Achats!$A$5:$A$104,$A103)</f>
        <v/>
      </c>
      <c r="G103" s="18">
        <f>SUMIF(Achats!$A$5:$A$104,$A103,Achats!$D$5:$D$104)</f>
        <v/>
      </c>
    </row>
    <row r="104">
      <c r="A104" s="10" t="n">
        <v>46122</v>
      </c>
      <c r="B104" s="9" t="inlineStr">
        <is>
          <t>Vendredi</t>
        </is>
      </c>
      <c r="C104" s="18">
        <f>COUNTIF(Ventes!$A$5:$A$104,$A104)</f>
        <v/>
      </c>
      <c r="D104" s="11">
        <f>SUMPRODUCT((Ventes!$A$5:$A$104=$A104)*Ventes!$F$5:$F$104)</f>
        <v/>
      </c>
      <c r="E104" s="11">
        <f>SUMPRODUCT((Ventes!$A$5:$A$104=$A104)*Ventes!$G$5:$G$104)</f>
        <v/>
      </c>
      <c r="F104" s="18">
        <f>COUNTIF(Achats!$A$5:$A$104,$A104)</f>
        <v/>
      </c>
      <c r="G104" s="18">
        <f>SUMIF(Achats!$A$5:$A$104,$A104,Achats!$D$5:$D$104)</f>
        <v/>
      </c>
    </row>
    <row r="105">
      <c r="A105" s="23" t="n">
        <v>46123</v>
      </c>
      <c r="B105" s="24" t="inlineStr">
        <is>
          <t>Samedi</t>
        </is>
      </c>
      <c r="C105" s="25">
        <f>COUNTIF(Ventes!$A$5:$A$104,$A105)</f>
        <v/>
      </c>
      <c r="D105" s="26">
        <f>SUMPRODUCT((Ventes!$A$5:$A$104=$A105)*Ventes!$F$5:$F$104)</f>
        <v/>
      </c>
      <c r="E105" s="26">
        <f>SUMPRODUCT((Ventes!$A$5:$A$104=$A105)*Ventes!$G$5:$G$104)</f>
        <v/>
      </c>
      <c r="F105" s="25">
        <f>COUNTIF(Achats!$A$5:$A$104,$A105)</f>
        <v/>
      </c>
      <c r="G105" s="25">
        <f>SUMIF(Achats!$A$5:$A$104,$A105,Achats!$D$5:$D$104)</f>
        <v/>
      </c>
    </row>
    <row r="106">
      <c r="A106" s="23" t="n">
        <v>46124</v>
      </c>
      <c r="B106" s="24" t="inlineStr">
        <is>
          <t>Dimanche</t>
        </is>
      </c>
      <c r="C106" s="25">
        <f>COUNTIF(Ventes!$A$5:$A$104,$A106)</f>
        <v/>
      </c>
      <c r="D106" s="26">
        <f>SUMPRODUCT((Ventes!$A$5:$A$104=$A106)*Ventes!$F$5:$F$104)</f>
        <v/>
      </c>
      <c r="E106" s="26">
        <f>SUMPRODUCT((Ventes!$A$5:$A$104=$A106)*Ventes!$G$5:$G$104)</f>
        <v/>
      </c>
      <c r="F106" s="25">
        <f>COUNTIF(Achats!$A$5:$A$104,$A106)</f>
        <v/>
      </c>
      <c r="G106" s="25">
        <f>SUMIF(Achats!$A$5:$A$104,$A106,Achats!$D$5:$D$104)</f>
        <v/>
      </c>
    </row>
    <row r="107">
      <c r="A107" s="10" t="n">
        <v>46125</v>
      </c>
      <c r="B107" s="9" t="inlineStr">
        <is>
          <t>Lundi</t>
        </is>
      </c>
      <c r="C107" s="18">
        <f>COUNTIF(Ventes!$A$5:$A$104,$A107)</f>
        <v/>
      </c>
      <c r="D107" s="11">
        <f>SUMPRODUCT((Ventes!$A$5:$A$104=$A107)*Ventes!$F$5:$F$104)</f>
        <v/>
      </c>
      <c r="E107" s="11">
        <f>SUMPRODUCT((Ventes!$A$5:$A$104=$A107)*Ventes!$G$5:$G$104)</f>
        <v/>
      </c>
      <c r="F107" s="18">
        <f>COUNTIF(Achats!$A$5:$A$104,$A107)</f>
        <v/>
      </c>
      <c r="G107" s="18">
        <f>SUMIF(Achats!$A$5:$A$104,$A107,Achats!$D$5:$D$104)</f>
        <v/>
      </c>
    </row>
    <row r="108">
      <c r="A108" s="10" t="n">
        <v>46126</v>
      </c>
      <c r="B108" s="9" t="inlineStr">
        <is>
          <t>Mardi</t>
        </is>
      </c>
      <c r="C108" s="18">
        <f>COUNTIF(Ventes!$A$5:$A$104,$A108)</f>
        <v/>
      </c>
      <c r="D108" s="11">
        <f>SUMPRODUCT((Ventes!$A$5:$A$104=$A108)*Ventes!$F$5:$F$104)</f>
        <v/>
      </c>
      <c r="E108" s="11">
        <f>SUMPRODUCT((Ventes!$A$5:$A$104=$A108)*Ventes!$G$5:$G$104)</f>
        <v/>
      </c>
      <c r="F108" s="18">
        <f>COUNTIF(Achats!$A$5:$A$104,$A108)</f>
        <v/>
      </c>
      <c r="G108" s="18">
        <f>SUMIF(Achats!$A$5:$A$104,$A108,Achats!$D$5:$D$104)</f>
        <v/>
      </c>
    </row>
    <row r="109">
      <c r="A109" s="10" t="n">
        <v>46127</v>
      </c>
      <c r="B109" s="9" t="inlineStr">
        <is>
          <t>Mercredi</t>
        </is>
      </c>
      <c r="C109" s="18">
        <f>COUNTIF(Ventes!$A$5:$A$104,$A109)</f>
        <v/>
      </c>
      <c r="D109" s="11">
        <f>SUMPRODUCT((Ventes!$A$5:$A$104=$A109)*Ventes!$F$5:$F$104)</f>
        <v/>
      </c>
      <c r="E109" s="11">
        <f>SUMPRODUCT((Ventes!$A$5:$A$104=$A109)*Ventes!$G$5:$G$104)</f>
        <v/>
      </c>
      <c r="F109" s="18">
        <f>COUNTIF(Achats!$A$5:$A$104,$A109)</f>
        <v/>
      </c>
      <c r="G109" s="18">
        <f>SUMIF(Achats!$A$5:$A$104,$A109,Achats!$D$5:$D$104)</f>
        <v/>
      </c>
    </row>
    <row r="110">
      <c r="A110" s="10" t="n">
        <v>46128</v>
      </c>
      <c r="B110" s="9" t="inlineStr">
        <is>
          <t>Jeudi</t>
        </is>
      </c>
      <c r="C110" s="18">
        <f>COUNTIF(Ventes!$A$5:$A$104,$A110)</f>
        <v/>
      </c>
      <c r="D110" s="11">
        <f>SUMPRODUCT((Ventes!$A$5:$A$104=$A110)*Ventes!$F$5:$F$104)</f>
        <v/>
      </c>
      <c r="E110" s="11">
        <f>SUMPRODUCT((Ventes!$A$5:$A$104=$A110)*Ventes!$G$5:$G$104)</f>
        <v/>
      </c>
      <c r="F110" s="18">
        <f>COUNTIF(Achats!$A$5:$A$104,$A110)</f>
        <v/>
      </c>
      <c r="G110" s="18">
        <f>SUMIF(Achats!$A$5:$A$104,$A110,Achats!$D$5:$D$104)</f>
        <v/>
      </c>
    </row>
    <row r="111">
      <c r="A111" s="10" t="n">
        <v>46129</v>
      </c>
      <c r="B111" s="9" t="inlineStr">
        <is>
          <t>Vendredi</t>
        </is>
      </c>
      <c r="C111" s="18">
        <f>COUNTIF(Ventes!$A$5:$A$104,$A111)</f>
        <v/>
      </c>
      <c r="D111" s="11">
        <f>SUMPRODUCT((Ventes!$A$5:$A$104=$A111)*Ventes!$F$5:$F$104)</f>
        <v/>
      </c>
      <c r="E111" s="11">
        <f>SUMPRODUCT((Ventes!$A$5:$A$104=$A111)*Ventes!$G$5:$G$104)</f>
        <v/>
      </c>
      <c r="F111" s="18">
        <f>COUNTIF(Achats!$A$5:$A$104,$A111)</f>
        <v/>
      </c>
      <c r="G111" s="18">
        <f>SUMIF(Achats!$A$5:$A$104,$A111,Achats!$D$5:$D$104)</f>
        <v/>
      </c>
    </row>
    <row r="112">
      <c r="A112" s="23" t="n">
        <v>46130</v>
      </c>
      <c r="B112" s="24" t="inlineStr">
        <is>
          <t>Samedi</t>
        </is>
      </c>
      <c r="C112" s="25">
        <f>COUNTIF(Ventes!$A$5:$A$104,$A112)</f>
        <v/>
      </c>
      <c r="D112" s="26">
        <f>SUMPRODUCT((Ventes!$A$5:$A$104=$A112)*Ventes!$F$5:$F$104)</f>
        <v/>
      </c>
      <c r="E112" s="26">
        <f>SUMPRODUCT((Ventes!$A$5:$A$104=$A112)*Ventes!$G$5:$G$104)</f>
        <v/>
      </c>
      <c r="F112" s="25">
        <f>COUNTIF(Achats!$A$5:$A$104,$A112)</f>
        <v/>
      </c>
      <c r="G112" s="25">
        <f>SUMIF(Achats!$A$5:$A$104,$A112,Achats!$D$5:$D$104)</f>
        <v/>
      </c>
    </row>
    <row r="113">
      <c r="A113" s="23" t="n">
        <v>46131</v>
      </c>
      <c r="B113" s="24" t="inlineStr">
        <is>
          <t>Dimanche</t>
        </is>
      </c>
      <c r="C113" s="25">
        <f>COUNTIF(Ventes!$A$5:$A$104,$A113)</f>
        <v/>
      </c>
      <c r="D113" s="26">
        <f>SUMPRODUCT((Ventes!$A$5:$A$104=$A113)*Ventes!$F$5:$F$104)</f>
        <v/>
      </c>
      <c r="E113" s="26">
        <f>SUMPRODUCT((Ventes!$A$5:$A$104=$A113)*Ventes!$G$5:$G$104)</f>
        <v/>
      </c>
      <c r="F113" s="25">
        <f>COUNTIF(Achats!$A$5:$A$104,$A113)</f>
        <v/>
      </c>
      <c r="G113" s="25">
        <f>SUMIF(Achats!$A$5:$A$104,$A113,Achats!$D$5:$D$104)</f>
        <v/>
      </c>
    </row>
    <row r="114">
      <c r="A114" s="10" t="n">
        <v>46132</v>
      </c>
      <c r="B114" s="9" t="inlineStr">
        <is>
          <t>Lundi</t>
        </is>
      </c>
      <c r="C114" s="18">
        <f>COUNTIF(Ventes!$A$5:$A$104,$A114)</f>
        <v/>
      </c>
      <c r="D114" s="11">
        <f>SUMPRODUCT((Ventes!$A$5:$A$104=$A114)*Ventes!$F$5:$F$104)</f>
        <v/>
      </c>
      <c r="E114" s="11">
        <f>SUMPRODUCT((Ventes!$A$5:$A$104=$A114)*Ventes!$G$5:$G$104)</f>
        <v/>
      </c>
      <c r="F114" s="18">
        <f>COUNTIF(Achats!$A$5:$A$104,$A114)</f>
        <v/>
      </c>
      <c r="G114" s="18">
        <f>SUMIF(Achats!$A$5:$A$104,$A114,Achats!$D$5:$D$104)</f>
        <v/>
      </c>
    </row>
    <row r="115">
      <c r="A115" s="10" t="n">
        <v>46133</v>
      </c>
      <c r="B115" s="9" t="inlineStr">
        <is>
          <t>Mardi</t>
        </is>
      </c>
      <c r="C115" s="18">
        <f>COUNTIF(Ventes!$A$5:$A$104,$A115)</f>
        <v/>
      </c>
      <c r="D115" s="11">
        <f>SUMPRODUCT((Ventes!$A$5:$A$104=$A115)*Ventes!$F$5:$F$104)</f>
        <v/>
      </c>
      <c r="E115" s="11">
        <f>SUMPRODUCT((Ventes!$A$5:$A$104=$A115)*Ventes!$G$5:$G$104)</f>
        <v/>
      </c>
      <c r="F115" s="18">
        <f>COUNTIF(Achats!$A$5:$A$104,$A115)</f>
        <v/>
      </c>
      <c r="G115" s="18">
        <f>SUMIF(Achats!$A$5:$A$104,$A115,Achats!$D$5:$D$104)</f>
        <v/>
      </c>
    </row>
    <row r="116">
      <c r="A116" s="10" t="n">
        <v>46134</v>
      </c>
      <c r="B116" s="9" t="inlineStr">
        <is>
          <t>Mercredi</t>
        </is>
      </c>
      <c r="C116" s="18">
        <f>COUNTIF(Ventes!$A$5:$A$104,$A116)</f>
        <v/>
      </c>
      <c r="D116" s="11">
        <f>SUMPRODUCT((Ventes!$A$5:$A$104=$A116)*Ventes!$F$5:$F$104)</f>
        <v/>
      </c>
      <c r="E116" s="11">
        <f>SUMPRODUCT((Ventes!$A$5:$A$104=$A116)*Ventes!$G$5:$G$104)</f>
        <v/>
      </c>
      <c r="F116" s="18">
        <f>COUNTIF(Achats!$A$5:$A$104,$A116)</f>
        <v/>
      </c>
      <c r="G116" s="18">
        <f>SUMIF(Achats!$A$5:$A$104,$A116,Achats!$D$5:$D$104)</f>
        <v/>
      </c>
    </row>
    <row r="117">
      <c r="A117" s="10" t="n">
        <v>46135</v>
      </c>
      <c r="B117" s="9" t="inlineStr">
        <is>
          <t>Jeudi</t>
        </is>
      </c>
      <c r="C117" s="18">
        <f>COUNTIF(Ventes!$A$5:$A$104,$A117)</f>
        <v/>
      </c>
      <c r="D117" s="11">
        <f>SUMPRODUCT((Ventes!$A$5:$A$104=$A117)*Ventes!$F$5:$F$104)</f>
        <v/>
      </c>
      <c r="E117" s="11">
        <f>SUMPRODUCT((Ventes!$A$5:$A$104=$A117)*Ventes!$G$5:$G$104)</f>
        <v/>
      </c>
      <c r="F117" s="18">
        <f>COUNTIF(Achats!$A$5:$A$104,$A117)</f>
        <v/>
      </c>
      <c r="G117" s="18">
        <f>SUMIF(Achats!$A$5:$A$104,$A117,Achats!$D$5:$D$104)</f>
        <v/>
      </c>
    </row>
    <row r="118">
      <c r="A118" s="10" t="n">
        <v>46136</v>
      </c>
      <c r="B118" s="9" t="inlineStr">
        <is>
          <t>Vendredi</t>
        </is>
      </c>
      <c r="C118" s="18">
        <f>COUNTIF(Ventes!$A$5:$A$104,$A118)</f>
        <v/>
      </c>
      <c r="D118" s="11">
        <f>SUMPRODUCT((Ventes!$A$5:$A$104=$A118)*Ventes!$F$5:$F$104)</f>
        <v/>
      </c>
      <c r="E118" s="11">
        <f>SUMPRODUCT((Ventes!$A$5:$A$104=$A118)*Ventes!$G$5:$G$104)</f>
        <v/>
      </c>
      <c r="F118" s="18">
        <f>COUNTIF(Achats!$A$5:$A$104,$A118)</f>
        <v/>
      </c>
      <c r="G118" s="18">
        <f>SUMIF(Achats!$A$5:$A$104,$A118,Achats!$D$5:$D$104)</f>
        <v/>
      </c>
    </row>
    <row r="119">
      <c r="A119" s="23" t="n">
        <v>46137</v>
      </c>
      <c r="B119" s="24" t="inlineStr">
        <is>
          <t>Samedi</t>
        </is>
      </c>
      <c r="C119" s="25">
        <f>COUNTIF(Ventes!$A$5:$A$104,$A119)</f>
        <v/>
      </c>
      <c r="D119" s="26">
        <f>SUMPRODUCT((Ventes!$A$5:$A$104=$A119)*Ventes!$F$5:$F$104)</f>
        <v/>
      </c>
      <c r="E119" s="26">
        <f>SUMPRODUCT((Ventes!$A$5:$A$104=$A119)*Ventes!$G$5:$G$104)</f>
        <v/>
      </c>
      <c r="F119" s="25">
        <f>COUNTIF(Achats!$A$5:$A$104,$A119)</f>
        <v/>
      </c>
      <c r="G119" s="25">
        <f>SUMIF(Achats!$A$5:$A$104,$A119,Achats!$D$5:$D$104)</f>
        <v/>
      </c>
    </row>
    <row r="120">
      <c r="A120" s="23" t="n">
        <v>46138</v>
      </c>
      <c r="B120" s="24" t="inlineStr">
        <is>
          <t>Dimanche</t>
        </is>
      </c>
      <c r="C120" s="25">
        <f>COUNTIF(Ventes!$A$5:$A$104,$A120)</f>
        <v/>
      </c>
      <c r="D120" s="26">
        <f>SUMPRODUCT((Ventes!$A$5:$A$104=$A120)*Ventes!$F$5:$F$104)</f>
        <v/>
      </c>
      <c r="E120" s="26">
        <f>SUMPRODUCT((Ventes!$A$5:$A$104=$A120)*Ventes!$G$5:$G$104)</f>
        <v/>
      </c>
      <c r="F120" s="25">
        <f>COUNTIF(Achats!$A$5:$A$104,$A120)</f>
        <v/>
      </c>
      <c r="G120" s="25">
        <f>SUMIF(Achats!$A$5:$A$104,$A120,Achats!$D$5:$D$104)</f>
        <v/>
      </c>
    </row>
    <row r="121">
      <c r="A121" s="10" t="n">
        <v>46139</v>
      </c>
      <c r="B121" s="9" t="inlineStr">
        <is>
          <t>Lundi</t>
        </is>
      </c>
      <c r="C121" s="18">
        <f>COUNTIF(Ventes!$A$5:$A$104,$A121)</f>
        <v/>
      </c>
      <c r="D121" s="11">
        <f>SUMPRODUCT((Ventes!$A$5:$A$104=$A121)*Ventes!$F$5:$F$104)</f>
        <v/>
      </c>
      <c r="E121" s="11">
        <f>SUMPRODUCT((Ventes!$A$5:$A$104=$A121)*Ventes!$G$5:$G$104)</f>
        <v/>
      </c>
      <c r="F121" s="18">
        <f>COUNTIF(Achats!$A$5:$A$104,$A121)</f>
        <v/>
      </c>
      <c r="G121" s="18">
        <f>SUMIF(Achats!$A$5:$A$104,$A121,Achats!$D$5:$D$104)</f>
        <v/>
      </c>
    </row>
    <row r="122">
      <c r="A122" s="10" t="n">
        <v>46140</v>
      </c>
      <c r="B122" s="9" t="inlineStr">
        <is>
          <t>Mardi</t>
        </is>
      </c>
      <c r="C122" s="18">
        <f>COUNTIF(Ventes!$A$5:$A$104,$A122)</f>
        <v/>
      </c>
      <c r="D122" s="11">
        <f>SUMPRODUCT((Ventes!$A$5:$A$104=$A122)*Ventes!$F$5:$F$104)</f>
        <v/>
      </c>
      <c r="E122" s="11">
        <f>SUMPRODUCT((Ventes!$A$5:$A$104=$A122)*Ventes!$G$5:$G$104)</f>
        <v/>
      </c>
      <c r="F122" s="18">
        <f>COUNTIF(Achats!$A$5:$A$104,$A122)</f>
        <v/>
      </c>
      <c r="G122" s="18">
        <f>SUMIF(Achats!$A$5:$A$104,$A122,Achats!$D$5:$D$104)</f>
        <v/>
      </c>
    </row>
    <row r="123">
      <c r="A123" s="10" t="n">
        <v>46141</v>
      </c>
      <c r="B123" s="9" t="inlineStr">
        <is>
          <t>Mercredi</t>
        </is>
      </c>
      <c r="C123" s="18">
        <f>COUNTIF(Ventes!$A$5:$A$104,$A123)</f>
        <v/>
      </c>
      <c r="D123" s="11">
        <f>SUMPRODUCT((Ventes!$A$5:$A$104=$A123)*Ventes!$F$5:$F$104)</f>
        <v/>
      </c>
      <c r="E123" s="11">
        <f>SUMPRODUCT((Ventes!$A$5:$A$104=$A123)*Ventes!$G$5:$G$104)</f>
        <v/>
      </c>
      <c r="F123" s="18">
        <f>COUNTIF(Achats!$A$5:$A$104,$A123)</f>
        <v/>
      </c>
      <c r="G123" s="18">
        <f>SUMIF(Achats!$A$5:$A$104,$A123,Achats!$D$5:$D$104)</f>
        <v/>
      </c>
    </row>
    <row r="124">
      <c r="A124" s="10" t="n">
        <v>46142</v>
      </c>
      <c r="B124" s="9" t="inlineStr">
        <is>
          <t>Jeudi</t>
        </is>
      </c>
      <c r="C124" s="18">
        <f>COUNTIF(Ventes!$A$5:$A$104,$A124)</f>
        <v/>
      </c>
      <c r="D124" s="11">
        <f>SUMPRODUCT((Ventes!$A$5:$A$104=$A124)*Ventes!$F$5:$F$104)</f>
        <v/>
      </c>
      <c r="E124" s="11">
        <f>SUMPRODUCT((Ventes!$A$5:$A$104=$A124)*Ventes!$G$5:$G$104)</f>
        <v/>
      </c>
      <c r="F124" s="18">
        <f>COUNTIF(Achats!$A$5:$A$104,$A124)</f>
        <v/>
      </c>
      <c r="G124" s="18">
        <f>SUMIF(Achats!$A$5:$A$104,$A124,Achats!$D$5:$D$104)</f>
        <v/>
      </c>
    </row>
    <row r="125">
      <c r="A125" s="10" t="n">
        <v>46143</v>
      </c>
      <c r="B125" s="9" t="inlineStr">
        <is>
          <t>Vendredi</t>
        </is>
      </c>
      <c r="C125" s="18">
        <f>COUNTIF(Ventes!$A$5:$A$104,$A125)</f>
        <v/>
      </c>
      <c r="D125" s="11">
        <f>SUMPRODUCT((Ventes!$A$5:$A$104=$A125)*Ventes!$F$5:$F$104)</f>
        <v/>
      </c>
      <c r="E125" s="11">
        <f>SUMPRODUCT((Ventes!$A$5:$A$104=$A125)*Ventes!$G$5:$G$104)</f>
        <v/>
      </c>
      <c r="F125" s="18">
        <f>COUNTIF(Achats!$A$5:$A$104,$A125)</f>
        <v/>
      </c>
      <c r="G125" s="18">
        <f>SUMIF(Achats!$A$5:$A$104,$A125,Achats!$D$5:$D$104)</f>
        <v/>
      </c>
    </row>
    <row r="126">
      <c r="A126" s="23" t="n">
        <v>46144</v>
      </c>
      <c r="B126" s="24" t="inlineStr">
        <is>
          <t>Samedi</t>
        </is>
      </c>
      <c r="C126" s="25">
        <f>COUNTIF(Ventes!$A$5:$A$104,$A126)</f>
        <v/>
      </c>
      <c r="D126" s="26">
        <f>SUMPRODUCT((Ventes!$A$5:$A$104=$A126)*Ventes!$F$5:$F$104)</f>
        <v/>
      </c>
      <c r="E126" s="26">
        <f>SUMPRODUCT((Ventes!$A$5:$A$104=$A126)*Ventes!$G$5:$G$104)</f>
        <v/>
      </c>
      <c r="F126" s="25">
        <f>COUNTIF(Achats!$A$5:$A$104,$A126)</f>
        <v/>
      </c>
      <c r="G126" s="25">
        <f>SUMIF(Achats!$A$5:$A$104,$A126,Achats!$D$5:$D$104)</f>
        <v/>
      </c>
    </row>
    <row r="127">
      <c r="A127" s="23" t="n">
        <v>46145</v>
      </c>
      <c r="B127" s="24" t="inlineStr">
        <is>
          <t>Dimanche</t>
        </is>
      </c>
      <c r="C127" s="25">
        <f>COUNTIF(Ventes!$A$5:$A$104,$A127)</f>
        <v/>
      </c>
      <c r="D127" s="26">
        <f>SUMPRODUCT((Ventes!$A$5:$A$104=$A127)*Ventes!$F$5:$F$104)</f>
        <v/>
      </c>
      <c r="E127" s="26">
        <f>SUMPRODUCT((Ventes!$A$5:$A$104=$A127)*Ventes!$G$5:$G$104)</f>
        <v/>
      </c>
      <c r="F127" s="25">
        <f>COUNTIF(Achats!$A$5:$A$104,$A127)</f>
        <v/>
      </c>
      <c r="G127" s="25">
        <f>SUMIF(Achats!$A$5:$A$104,$A127,Achats!$D$5:$D$104)</f>
        <v/>
      </c>
    </row>
    <row r="128">
      <c r="A128" s="10" t="n">
        <v>46146</v>
      </c>
      <c r="B128" s="9" t="inlineStr">
        <is>
          <t>Lundi</t>
        </is>
      </c>
      <c r="C128" s="18">
        <f>COUNTIF(Ventes!$A$5:$A$104,$A128)</f>
        <v/>
      </c>
      <c r="D128" s="11">
        <f>SUMPRODUCT((Ventes!$A$5:$A$104=$A128)*Ventes!$F$5:$F$104)</f>
        <v/>
      </c>
      <c r="E128" s="11">
        <f>SUMPRODUCT((Ventes!$A$5:$A$104=$A128)*Ventes!$G$5:$G$104)</f>
        <v/>
      </c>
      <c r="F128" s="18">
        <f>COUNTIF(Achats!$A$5:$A$104,$A128)</f>
        <v/>
      </c>
      <c r="G128" s="18">
        <f>SUMIF(Achats!$A$5:$A$104,$A128,Achats!$D$5:$D$104)</f>
        <v/>
      </c>
    </row>
    <row r="129">
      <c r="A129" s="10" t="n">
        <v>46147</v>
      </c>
      <c r="B129" s="9" t="inlineStr">
        <is>
          <t>Mardi</t>
        </is>
      </c>
      <c r="C129" s="18">
        <f>COUNTIF(Ventes!$A$5:$A$104,$A129)</f>
        <v/>
      </c>
      <c r="D129" s="11">
        <f>SUMPRODUCT((Ventes!$A$5:$A$104=$A129)*Ventes!$F$5:$F$104)</f>
        <v/>
      </c>
      <c r="E129" s="11">
        <f>SUMPRODUCT((Ventes!$A$5:$A$104=$A129)*Ventes!$G$5:$G$104)</f>
        <v/>
      </c>
      <c r="F129" s="18">
        <f>COUNTIF(Achats!$A$5:$A$104,$A129)</f>
        <v/>
      </c>
      <c r="G129" s="18">
        <f>SUMIF(Achats!$A$5:$A$104,$A129,Achats!$D$5:$D$104)</f>
        <v/>
      </c>
    </row>
    <row r="130">
      <c r="A130" s="10" t="n">
        <v>46148</v>
      </c>
      <c r="B130" s="9" t="inlineStr">
        <is>
          <t>Mercredi</t>
        </is>
      </c>
      <c r="C130" s="18">
        <f>COUNTIF(Ventes!$A$5:$A$104,$A130)</f>
        <v/>
      </c>
      <c r="D130" s="11">
        <f>SUMPRODUCT((Ventes!$A$5:$A$104=$A130)*Ventes!$F$5:$F$104)</f>
        <v/>
      </c>
      <c r="E130" s="11">
        <f>SUMPRODUCT((Ventes!$A$5:$A$104=$A130)*Ventes!$G$5:$G$104)</f>
        <v/>
      </c>
      <c r="F130" s="18">
        <f>COUNTIF(Achats!$A$5:$A$104,$A130)</f>
        <v/>
      </c>
      <c r="G130" s="18">
        <f>SUMIF(Achats!$A$5:$A$104,$A130,Achats!$D$5:$D$104)</f>
        <v/>
      </c>
    </row>
    <row r="131">
      <c r="A131" s="10" t="n">
        <v>46149</v>
      </c>
      <c r="B131" s="9" t="inlineStr">
        <is>
          <t>Jeudi</t>
        </is>
      </c>
      <c r="C131" s="18">
        <f>COUNTIF(Ventes!$A$5:$A$104,$A131)</f>
        <v/>
      </c>
      <c r="D131" s="11">
        <f>SUMPRODUCT((Ventes!$A$5:$A$104=$A131)*Ventes!$F$5:$F$104)</f>
        <v/>
      </c>
      <c r="E131" s="11">
        <f>SUMPRODUCT((Ventes!$A$5:$A$104=$A131)*Ventes!$G$5:$G$104)</f>
        <v/>
      </c>
      <c r="F131" s="18">
        <f>COUNTIF(Achats!$A$5:$A$104,$A131)</f>
        <v/>
      </c>
      <c r="G131" s="18">
        <f>SUMIF(Achats!$A$5:$A$104,$A131,Achats!$D$5:$D$104)</f>
        <v/>
      </c>
    </row>
    <row r="132">
      <c r="A132" s="10" t="n">
        <v>46150</v>
      </c>
      <c r="B132" s="9" t="inlineStr">
        <is>
          <t>Vendredi</t>
        </is>
      </c>
      <c r="C132" s="18">
        <f>COUNTIF(Ventes!$A$5:$A$104,$A132)</f>
        <v/>
      </c>
      <c r="D132" s="11">
        <f>SUMPRODUCT((Ventes!$A$5:$A$104=$A132)*Ventes!$F$5:$F$104)</f>
        <v/>
      </c>
      <c r="E132" s="11">
        <f>SUMPRODUCT((Ventes!$A$5:$A$104=$A132)*Ventes!$G$5:$G$104)</f>
        <v/>
      </c>
      <c r="F132" s="18">
        <f>COUNTIF(Achats!$A$5:$A$104,$A132)</f>
        <v/>
      </c>
      <c r="G132" s="18">
        <f>SUMIF(Achats!$A$5:$A$104,$A132,Achats!$D$5:$D$104)</f>
        <v/>
      </c>
    </row>
    <row r="133">
      <c r="A133" s="23" t="n">
        <v>46151</v>
      </c>
      <c r="B133" s="24" t="inlineStr">
        <is>
          <t>Samedi</t>
        </is>
      </c>
      <c r="C133" s="25">
        <f>COUNTIF(Ventes!$A$5:$A$104,$A133)</f>
        <v/>
      </c>
      <c r="D133" s="26">
        <f>SUMPRODUCT((Ventes!$A$5:$A$104=$A133)*Ventes!$F$5:$F$104)</f>
        <v/>
      </c>
      <c r="E133" s="26">
        <f>SUMPRODUCT((Ventes!$A$5:$A$104=$A133)*Ventes!$G$5:$G$104)</f>
        <v/>
      </c>
      <c r="F133" s="25">
        <f>COUNTIF(Achats!$A$5:$A$104,$A133)</f>
        <v/>
      </c>
      <c r="G133" s="25">
        <f>SUMIF(Achats!$A$5:$A$104,$A133,Achats!$D$5:$D$104)</f>
        <v/>
      </c>
    </row>
    <row r="134">
      <c r="A134" s="23" t="n">
        <v>46152</v>
      </c>
      <c r="B134" s="24" t="inlineStr">
        <is>
          <t>Dimanche</t>
        </is>
      </c>
      <c r="C134" s="25">
        <f>COUNTIF(Ventes!$A$5:$A$104,$A134)</f>
        <v/>
      </c>
      <c r="D134" s="26">
        <f>SUMPRODUCT((Ventes!$A$5:$A$104=$A134)*Ventes!$F$5:$F$104)</f>
        <v/>
      </c>
      <c r="E134" s="26">
        <f>SUMPRODUCT((Ventes!$A$5:$A$104=$A134)*Ventes!$G$5:$G$104)</f>
        <v/>
      </c>
      <c r="F134" s="25">
        <f>COUNTIF(Achats!$A$5:$A$104,$A134)</f>
        <v/>
      </c>
      <c r="G134" s="25">
        <f>SUMIF(Achats!$A$5:$A$104,$A134,Achats!$D$5:$D$104)</f>
        <v/>
      </c>
    </row>
    <row r="135">
      <c r="A135" s="10" t="n">
        <v>46153</v>
      </c>
      <c r="B135" s="9" t="inlineStr">
        <is>
          <t>Lundi</t>
        </is>
      </c>
      <c r="C135" s="18">
        <f>COUNTIF(Ventes!$A$5:$A$104,$A135)</f>
        <v/>
      </c>
      <c r="D135" s="11">
        <f>SUMPRODUCT((Ventes!$A$5:$A$104=$A135)*Ventes!$F$5:$F$104)</f>
        <v/>
      </c>
      <c r="E135" s="11">
        <f>SUMPRODUCT((Ventes!$A$5:$A$104=$A135)*Ventes!$G$5:$G$104)</f>
        <v/>
      </c>
      <c r="F135" s="18">
        <f>COUNTIF(Achats!$A$5:$A$104,$A135)</f>
        <v/>
      </c>
      <c r="G135" s="18">
        <f>SUMIF(Achats!$A$5:$A$104,$A135,Achats!$D$5:$D$104)</f>
        <v/>
      </c>
    </row>
    <row r="136">
      <c r="A136" s="10" t="n">
        <v>46154</v>
      </c>
      <c r="B136" s="9" t="inlineStr">
        <is>
          <t>Mardi</t>
        </is>
      </c>
      <c r="C136" s="18">
        <f>COUNTIF(Ventes!$A$5:$A$104,$A136)</f>
        <v/>
      </c>
      <c r="D136" s="11">
        <f>SUMPRODUCT((Ventes!$A$5:$A$104=$A136)*Ventes!$F$5:$F$104)</f>
        <v/>
      </c>
      <c r="E136" s="11">
        <f>SUMPRODUCT((Ventes!$A$5:$A$104=$A136)*Ventes!$G$5:$G$104)</f>
        <v/>
      </c>
      <c r="F136" s="18">
        <f>COUNTIF(Achats!$A$5:$A$104,$A136)</f>
        <v/>
      </c>
      <c r="G136" s="18">
        <f>SUMIF(Achats!$A$5:$A$104,$A136,Achats!$D$5:$D$104)</f>
        <v/>
      </c>
    </row>
    <row r="137">
      <c r="A137" s="10" t="n">
        <v>46155</v>
      </c>
      <c r="B137" s="9" t="inlineStr">
        <is>
          <t>Mercredi</t>
        </is>
      </c>
      <c r="C137" s="18">
        <f>COUNTIF(Ventes!$A$5:$A$104,$A137)</f>
        <v/>
      </c>
      <c r="D137" s="11">
        <f>SUMPRODUCT((Ventes!$A$5:$A$104=$A137)*Ventes!$F$5:$F$104)</f>
        <v/>
      </c>
      <c r="E137" s="11">
        <f>SUMPRODUCT((Ventes!$A$5:$A$104=$A137)*Ventes!$G$5:$G$104)</f>
        <v/>
      </c>
      <c r="F137" s="18">
        <f>COUNTIF(Achats!$A$5:$A$104,$A137)</f>
        <v/>
      </c>
      <c r="G137" s="18">
        <f>SUMIF(Achats!$A$5:$A$104,$A137,Achats!$D$5:$D$104)</f>
        <v/>
      </c>
    </row>
    <row r="138">
      <c r="A138" s="10" t="n">
        <v>46156</v>
      </c>
      <c r="B138" s="9" t="inlineStr">
        <is>
          <t>Jeudi</t>
        </is>
      </c>
      <c r="C138" s="18">
        <f>COUNTIF(Ventes!$A$5:$A$104,$A138)</f>
        <v/>
      </c>
      <c r="D138" s="11">
        <f>SUMPRODUCT((Ventes!$A$5:$A$104=$A138)*Ventes!$F$5:$F$104)</f>
        <v/>
      </c>
      <c r="E138" s="11">
        <f>SUMPRODUCT((Ventes!$A$5:$A$104=$A138)*Ventes!$G$5:$G$104)</f>
        <v/>
      </c>
      <c r="F138" s="18">
        <f>COUNTIF(Achats!$A$5:$A$104,$A138)</f>
        <v/>
      </c>
      <c r="G138" s="18">
        <f>SUMIF(Achats!$A$5:$A$104,$A138,Achats!$D$5:$D$104)</f>
        <v/>
      </c>
    </row>
    <row r="139">
      <c r="A139" s="10" t="n">
        <v>46157</v>
      </c>
      <c r="B139" s="9" t="inlineStr">
        <is>
          <t>Vendredi</t>
        </is>
      </c>
      <c r="C139" s="18">
        <f>COUNTIF(Ventes!$A$5:$A$104,$A139)</f>
        <v/>
      </c>
      <c r="D139" s="11">
        <f>SUMPRODUCT((Ventes!$A$5:$A$104=$A139)*Ventes!$F$5:$F$104)</f>
        <v/>
      </c>
      <c r="E139" s="11">
        <f>SUMPRODUCT((Ventes!$A$5:$A$104=$A139)*Ventes!$G$5:$G$104)</f>
        <v/>
      </c>
      <c r="F139" s="18">
        <f>COUNTIF(Achats!$A$5:$A$104,$A139)</f>
        <v/>
      </c>
      <c r="G139" s="18">
        <f>SUMIF(Achats!$A$5:$A$104,$A139,Achats!$D$5:$D$104)</f>
        <v/>
      </c>
    </row>
    <row r="140">
      <c r="A140" s="23" t="n">
        <v>46158</v>
      </c>
      <c r="B140" s="24" t="inlineStr">
        <is>
          <t>Samedi</t>
        </is>
      </c>
      <c r="C140" s="25">
        <f>COUNTIF(Ventes!$A$5:$A$104,$A140)</f>
        <v/>
      </c>
      <c r="D140" s="26">
        <f>SUMPRODUCT((Ventes!$A$5:$A$104=$A140)*Ventes!$F$5:$F$104)</f>
        <v/>
      </c>
      <c r="E140" s="26">
        <f>SUMPRODUCT((Ventes!$A$5:$A$104=$A140)*Ventes!$G$5:$G$104)</f>
        <v/>
      </c>
      <c r="F140" s="25">
        <f>COUNTIF(Achats!$A$5:$A$104,$A140)</f>
        <v/>
      </c>
      <c r="G140" s="25">
        <f>SUMIF(Achats!$A$5:$A$104,$A140,Achats!$D$5:$D$104)</f>
        <v/>
      </c>
    </row>
    <row r="141">
      <c r="A141" s="23" t="n">
        <v>46159</v>
      </c>
      <c r="B141" s="24" t="inlineStr">
        <is>
          <t>Dimanche</t>
        </is>
      </c>
      <c r="C141" s="25">
        <f>COUNTIF(Ventes!$A$5:$A$104,$A141)</f>
        <v/>
      </c>
      <c r="D141" s="26">
        <f>SUMPRODUCT((Ventes!$A$5:$A$104=$A141)*Ventes!$F$5:$F$104)</f>
        <v/>
      </c>
      <c r="E141" s="26">
        <f>SUMPRODUCT((Ventes!$A$5:$A$104=$A141)*Ventes!$G$5:$G$104)</f>
        <v/>
      </c>
      <c r="F141" s="25">
        <f>COUNTIF(Achats!$A$5:$A$104,$A141)</f>
        <v/>
      </c>
      <c r="G141" s="25">
        <f>SUMIF(Achats!$A$5:$A$104,$A141,Achats!$D$5:$D$104)</f>
        <v/>
      </c>
    </row>
    <row r="142">
      <c r="A142" s="10" t="n">
        <v>46160</v>
      </c>
      <c r="B142" s="9" t="inlineStr">
        <is>
          <t>Lundi</t>
        </is>
      </c>
      <c r="C142" s="18">
        <f>COUNTIF(Ventes!$A$5:$A$104,$A142)</f>
        <v/>
      </c>
      <c r="D142" s="11">
        <f>SUMPRODUCT((Ventes!$A$5:$A$104=$A142)*Ventes!$F$5:$F$104)</f>
        <v/>
      </c>
      <c r="E142" s="11">
        <f>SUMPRODUCT((Ventes!$A$5:$A$104=$A142)*Ventes!$G$5:$G$104)</f>
        <v/>
      </c>
      <c r="F142" s="18">
        <f>COUNTIF(Achats!$A$5:$A$104,$A142)</f>
        <v/>
      </c>
      <c r="G142" s="18">
        <f>SUMIF(Achats!$A$5:$A$104,$A142,Achats!$D$5:$D$104)</f>
        <v/>
      </c>
    </row>
    <row r="143">
      <c r="A143" s="10" t="n">
        <v>46161</v>
      </c>
      <c r="B143" s="9" t="inlineStr">
        <is>
          <t>Mardi</t>
        </is>
      </c>
      <c r="C143" s="18">
        <f>COUNTIF(Ventes!$A$5:$A$104,$A143)</f>
        <v/>
      </c>
      <c r="D143" s="11">
        <f>SUMPRODUCT((Ventes!$A$5:$A$104=$A143)*Ventes!$F$5:$F$104)</f>
        <v/>
      </c>
      <c r="E143" s="11">
        <f>SUMPRODUCT((Ventes!$A$5:$A$104=$A143)*Ventes!$G$5:$G$104)</f>
        <v/>
      </c>
      <c r="F143" s="18">
        <f>COUNTIF(Achats!$A$5:$A$104,$A143)</f>
        <v/>
      </c>
      <c r="G143" s="18">
        <f>SUMIF(Achats!$A$5:$A$104,$A143,Achats!$D$5:$D$104)</f>
        <v/>
      </c>
    </row>
    <row r="144">
      <c r="A144" s="10" t="n">
        <v>46162</v>
      </c>
      <c r="B144" s="9" t="inlineStr">
        <is>
          <t>Mercredi</t>
        </is>
      </c>
      <c r="C144" s="18">
        <f>COUNTIF(Ventes!$A$5:$A$104,$A144)</f>
        <v/>
      </c>
      <c r="D144" s="11">
        <f>SUMPRODUCT((Ventes!$A$5:$A$104=$A144)*Ventes!$F$5:$F$104)</f>
        <v/>
      </c>
      <c r="E144" s="11">
        <f>SUMPRODUCT((Ventes!$A$5:$A$104=$A144)*Ventes!$G$5:$G$104)</f>
        <v/>
      </c>
      <c r="F144" s="18">
        <f>COUNTIF(Achats!$A$5:$A$104,$A144)</f>
        <v/>
      </c>
      <c r="G144" s="18">
        <f>SUMIF(Achats!$A$5:$A$104,$A144,Achats!$D$5:$D$104)</f>
        <v/>
      </c>
    </row>
    <row r="145">
      <c r="A145" s="10" t="n">
        <v>46163</v>
      </c>
      <c r="B145" s="9" t="inlineStr">
        <is>
          <t>Jeudi</t>
        </is>
      </c>
      <c r="C145" s="18">
        <f>COUNTIF(Ventes!$A$5:$A$104,$A145)</f>
        <v/>
      </c>
      <c r="D145" s="11">
        <f>SUMPRODUCT((Ventes!$A$5:$A$104=$A145)*Ventes!$F$5:$F$104)</f>
        <v/>
      </c>
      <c r="E145" s="11">
        <f>SUMPRODUCT((Ventes!$A$5:$A$104=$A145)*Ventes!$G$5:$G$104)</f>
        <v/>
      </c>
      <c r="F145" s="18">
        <f>COUNTIF(Achats!$A$5:$A$104,$A145)</f>
        <v/>
      </c>
      <c r="G145" s="18">
        <f>SUMIF(Achats!$A$5:$A$104,$A145,Achats!$D$5:$D$104)</f>
        <v/>
      </c>
    </row>
    <row r="146">
      <c r="A146" s="10" t="n">
        <v>46164</v>
      </c>
      <c r="B146" s="9" t="inlineStr">
        <is>
          <t>Vendredi</t>
        </is>
      </c>
      <c r="C146" s="18">
        <f>COUNTIF(Ventes!$A$5:$A$104,$A146)</f>
        <v/>
      </c>
      <c r="D146" s="11">
        <f>SUMPRODUCT((Ventes!$A$5:$A$104=$A146)*Ventes!$F$5:$F$104)</f>
        <v/>
      </c>
      <c r="E146" s="11">
        <f>SUMPRODUCT((Ventes!$A$5:$A$104=$A146)*Ventes!$G$5:$G$104)</f>
        <v/>
      </c>
      <c r="F146" s="18">
        <f>COUNTIF(Achats!$A$5:$A$104,$A146)</f>
        <v/>
      </c>
      <c r="G146" s="18">
        <f>SUMIF(Achats!$A$5:$A$104,$A146,Achats!$D$5:$D$104)</f>
        <v/>
      </c>
    </row>
    <row r="147">
      <c r="A147" s="23" t="n">
        <v>46165</v>
      </c>
      <c r="B147" s="24" t="inlineStr">
        <is>
          <t>Samedi</t>
        </is>
      </c>
      <c r="C147" s="25">
        <f>COUNTIF(Ventes!$A$5:$A$104,$A147)</f>
        <v/>
      </c>
      <c r="D147" s="26">
        <f>SUMPRODUCT((Ventes!$A$5:$A$104=$A147)*Ventes!$F$5:$F$104)</f>
        <v/>
      </c>
      <c r="E147" s="26">
        <f>SUMPRODUCT((Ventes!$A$5:$A$104=$A147)*Ventes!$G$5:$G$104)</f>
        <v/>
      </c>
      <c r="F147" s="25">
        <f>COUNTIF(Achats!$A$5:$A$104,$A147)</f>
        <v/>
      </c>
      <c r="G147" s="25">
        <f>SUMIF(Achats!$A$5:$A$104,$A147,Achats!$D$5:$D$104)</f>
        <v/>
      </c>
    </row>
    <row r="148">
      <c r="A148" s="23" t="n">
        <v>46166</v>
      </c>
      <c r="B148" s="24" t="inlineStr">
        <is>
          <t>Dimanche</t>
        </is>
      </c>
      <c r="C148" s="25">
        <f>COUNTIF(Ventes!$A$5:$A$104,$A148)</f>
        <v/>
      </c>
      <c r="D148" s="26">
        <f>SUMPRODUCT((Ventes!$A$5:$A$104=$A148)*Ventes!$F$5:$F$104)</f>
        <v/>
      </c>
      <c r="E148" s="26">
        <f>SUMPRODUCT((Ventes!$A$5:$A$104=$A148)*Ventes!$G$5:$G$104)</f>
        <v/>
      </c>
      <c r="F148" s="25">
        <f>COUNTIF(Achats!$A$5:$A$104,$A148)</f>
        <v/>
      </c>
      <c r="G148" s="25">
        <f>SUMIF(Achats!$A$5:$A$104,$A148,Achats!$D$5:$D$104)</f>
        <v/>
      </c>
    </row>
    <row r="149">
      <c r="A149" s="10" t="n">
        <v>46167</v>
      </c>
      <c r="B149" s="9" t="inlineStr">
        <is>
          <t>Lundi</t>
        </is>
      </c>
      <c r="C149" s="18">
        <f>COUNTIF(Ventes!$A$5:$A$104,$A149)</f>
        <v/>
      </c>
      <c r="D149" s="11">
        <f>SUMPRODUCT((Ventes!$A$5:$A$104=$A149)*Ventes!$F$5:$F$104)</f>
        <v/>
      </c>
      <c r="E149" s="11">
        <f>SUMPRODUCT((Ventes!$A$5:$A$104=$A149)*Ventes!$G$5:$G$104)</f>
        <v/>
      </c>
      <c r="F149" s="18">
        <f>COUNTIF(Achats!$A$5:$A$104,$A149)</f>
        <v/>
      </c>
      <c r="G149" s="18">
        <f>SUMIF(Achats!$A$5:$A$104,$A149,Achats!$D$5:$D$104)</f>
        <v/>
      </c>
    </row>
    <row r="150">
      <c r="A150" s="10" t="n">
        <v>46168</v>
      </c>
      <c r="B150" s="9" t="inlineStr">
        <is>
          <t>Mardi</t>
        </is>
      </c>
      <c r="C150" s="18">
        <f>COUNTIF(Ventes!$A$5:$A$104,$A150)</f>
        <v/>
      </c>
      <c r="D150" s="11">
        <f>SUMPRODUCT((Ventes!$A$5:$A$104=$A150)*Ventes!$F$5:$F$104)</f>
        <v/>
      </c>
      <c r="E150" s="11">
        <f>SUMPRODUCT((Ventes!$A$5:$A$104=$A150)*Ventes!$G$5:$G$104)</f>
        <v/>
      </c>
      <c r="F150" s="18">
        <f>COUNTIF(Achats!$A$5:$A$104,$A150)</f>
        <v/>
      </c>
      <c r="G150" s="18">
        <f>SUMIF(Achats!$A$5:$A$104,$A150,Achats!$D$5:$D$104)</f>
        <v/>
      </c>
    </row>
    <row r="151">
      <c r="A151" s="10" t="n">
        <v>46169</v>
      </c>
      <c r="B151" s="9" t="inlineStr">
        <is>
          <t>Mercredi</t>
        </is>
      </c>
      <c r="C151" s="18">
        <f>COUNTIF(Ventes!$A$5:$A$104,$A151)</f>
        <v/>
      </c>
      <c r="D151" s="11">
        <f>SUMPRODUCT((Ventes!$A$5:$A$104=$A151)*Ventes!$F$5:$F$104)</f>
        <v/>
      </c>
      <c r="E151" s="11">
        <f>SUMPRODUCT((Ventes!$A$5:$A$104=$A151)*Ventes!$G$5:$G$104)</f>
        <v/>
      </c>
      <c r="F151" s="18">
        <f>COUNTIF(Achats!$A$5:$A$104,$A151)</f>
        <v/>
      </c>
      <c r="G151" s="18">
        <f>SUMIF(Achats!$A$5:$A$104,$A151,Achats!$D$5:$D$104)</f>
        <v/>
      </c>
    </row>
    <row r="152">
      <c r="A152" s="10" t="n">
        <v>46170</v>
      </c>
      <c r="B152" s="9" t="inlineStr">
        <is>
          <t>Jeudi</t>
        </is>
      </c>
      <c r="C152" s="18">
        <f>COUNTIF(Ventes!$A$5:$A$104,$A152)</f>
        <v/>
      </c>
      <c r="D152" s="11">
        <f>SUMPRODUCT((Ventes!$A$5:$A$104=$A152)*Ventes!$F$5:$F$104)</f>
        <v/>
      </c>
      <c r="E152" s="11">
        <f>SUMPRODUCT((Ventes!$A$5:$A$104=$A152)*Ventes!$G$5:$G$104)</f>
        <v/>
      </c>
      <c r="F152" s="18">
        <f>COUNTIF(Achats!$A$5:$A$104,$A152)</f>
        <v/>
      </c>
      <c r="G152" s="18">
        <f>SUMIF(Achats!$A$5:$A$104,$A152,Achats!$D$5:$D$104)</f>
        <v/>
      </c>
    </row>
    <row r="153">
      <c r="A153" s="10" t="n">
        <v>46171</v>
      </c>
      <c r="B153" s="9" t="inlineStr">
        <is>
          <t>Vendredi</t>
        </is>
      </c>
      <c r="C153" s="18">
        <f>COUNTIF(Ventes!$A$5:$A$104,$A153)</f>
        <v/>
      </c>
      <c r="D153" s="11">
        <f>SUMPRODUCT((Ventes!$A$5:$A$104=$A153)*Ventes!$F$5:$F$104)</f>
        <v/>
      </c>
      <c r="E153" s="11">
        <f>SUMPRODUCT((Ventes!$A$5:$A$104=$A153)*Ventes!$G$5:$G$104)</f>
        <v/>
      </c>
      <c r="F153" s="18">
        <f>COUNTIF(Achats!$A$5:$A$104,$A153)</f>
        <v/>
      </c>
      <c r="G153" s="18">
        <f>SUMIF(Achats!$A$5:$A$104,$A153,Achats!$D$5:$D$104)</f>
        <v/>
      </c>
    </row>
    <row r="154">
      <c r="A154" s="23" t="n">
        <v>46172</v>
      </c>
      <c r="B154" s="24" t="inlineStr">
        <is>
          <t>Samedi</t>
        </is>
      </c>
      <c r="C154" s="25">
        <f>COUNTIF(Ventes!$A$5:$A$104,$A154)</f>
        <v/>
      </c>
      <c r="D154" s="26">
        <f>SUMPRODUCT((Ventes!$A$5:$A$104=$A154)*Ventes!$F$5:$F$104)</f>
        <v/>
      </c>
      <c r="E154" s="26">
        <f>SUMPRODUCT((Ventes!$A$5:$A$104=$A154)*Ventes!$G$5:$G$104)</f>
        <v/>
      </c>
      <c r="F154" s="25">
        <f>COUNTIF(Achats!$A$5:$A$104,$A154)</f>
        <v/>
      </c>
      <c r="G154" s="25">
        <f>SUMIF(Achats!$A$5:$A$104,$A154,Achats!$D$5:$D$104)</f>
        <v/>
      </c>
    </row>
    <row r="155">
      <c r="A155" s="23" t="n">
        <v>46173</v>
      </c>
      <c r="B155" s="24" t="inlineStr">
        <is>
          <t>Dimanche</t>
        </is>
      </c>
      <c r="C155" s="25">
        <f>COUNTIF(Ventes!$A$5:$A$104,$A155)</f>
        <v/>
      </c>
      <c r="D155" s="26">
        <f>SUMPRODUCT((Ventes!$A$5:$A$104=$A155)*Ventes!$F$5:$F$104)</f>
        <v/>
      </c>
      <c r="E155" s="26">
        <f>SUMPRODUCT((Ventes!$A$5:$A$104=$A155)*Ventes!$G$5:$G$104)</f>
        <v/>
      </c>
      <c r="F155" s="25">
        <f>COUNTIF(Achats!$A$5:$A$104,$A155)</f>
        <v/>
      </c>
      <c r="G155" s="25">
        <f>SUMIF(Achats!$A$5:$A$104,$A155,Achats!$D$5:$D$104)</f>
        <v/>
      </c>
    </row>
    <row r="156">
      <c r="A156" s="10" t="n">
        <v>46174</v>
      </c>
      <c r="B156" s="9" t="inlineStr">
        <is>
          <t>Lundi</t>
        </is>
      </c>
      <c r="C156" s="18">
        <f>COUNTIF(Ventes!$A$5:$A$104,$A156)</f>
        <v/>
      </c>
      <c r="D156" s="11">
        <f>SUMPRODUCT((Ventes!$A$5:$A$104=$A156)*Ventes!$F$5:$F$104)</f>
        <v/>
      </c>
      <c r="E156" s="11">
        <f>SUMPRODUCT((Ventes!$A$5:$A$104=$A156)*Ventes!$G$5:$G$104)</f>
        <v/>
      </c>
      <c r="F156" s="18">
        <f>COUNTIF(Achats!$A$5:$A$104,$A156)</f>
        <v/>
      </c>
      <c r="G156" s="18">
        <f>SUMIF(Achats!$A$5:$A$104,$A156,Achats!$D$5:$D$104)</f>
        <v/>
      </c>
    </row>
    <row r="157">
      <c r="A157" s="10" t="n">
        <v>46175</v>
      </c>
      <c r="B157" s="9" t="inlineStr">
        <is>
          <t>Mardi</t>
        </is>
      </c>
      <c r="C157" s="18">
        <f>COUNTIF(Ventes!$A$5:$A$104,$A157)</f>
        <v/>
      </c>
      <c r="D157" s="11">
        <f>SUMPRODUCT((Ventes!$A$5:$A$104=$A157)*Ventes!$F$5:$F$104)</f>
        <v/>
      </c>
      <c r="E157" s="11">
        <f>SUMPRODUCT((Ventes!$A$5:$A$104=$A157)*Ventes!$G$5:$G$104)</f>
        <v/>
      </c>
      <c r="F157" s="18">
        <f>COUNTIF(Achats!$A$5:$A$104,$A157)</f>
        <v/>
      </c>
      <c r="G157" s="18">
        <f>SUMIF(Achats!$A$5:$A$104,$A157,Achats!$D$5:$D$104)</f>
        <v/>
      </c>
    </row>
    <row r="158">
      <c r="A158" s="10" t="n">
        <v>46176</v>
      </c>
      <c r="B158" s="9" t="inlineStr">
        <is>
          <t>Mercredi</t>
        </is>
      </c>
      <c r="C158" s="18">
        <f>COUNTIF(Ventes!$A$5:$A$104,$A158)</f>
        <v/>
      </c>
      <c r="D158" s="11">
        <f>SUMPRODUCT((Ventes!$A$5:$A$104=$A158)*Ventes!$F$5:$F$104)</f>
        <v/>
      </c>
      <c r="E158" s="11">
        <f>SUMPRODUCT((Ventes!$A$5:$A$104=$A158)*Ventes!$G$5:$G$104)</f>
        <v/>
      </c>
      <c r="F158" s="18">
        <f>COUNTIF(Achats!$A$5:$A$104,$A158)</f>
        <v/>
      </c>
      <c r="G158" s="18">
        <f>SUMIF(Achats!$A$5:$A$104,$A158,Achats!$D$5:$D$104)</f>
        <v/>
      </c>
    </row>
    <row r="159">
      <c r="A159" s="10" t="n">
        <v>46177</v>
      </c>
      <c r="B159" s="9" t="inlineStr">
        <is>
          <t>Jeudi</t>
        </is>
      </c>
      <c r="C159" s="18">
        <f>COUNTIF(Ventes!$A$5:$A$104,$A159)</f>
        <v/>
      </c>
      <c r="D159" s="11">
        <f>SUMPRODUCT((Ventes!$A$5:$A$104=$A159)*Ventes!$F$5:$F$104)</f>
        <v/>
      </c>
      <c r="E159" s="11">
        <f>SUMPRODUCT((Ventes!$A$5:$A$104=$A159)*Ventes!$G$5:$G$104)</f>
        <v/>
      </c>
      <c r="F159" s="18">
        <f>COUNTIF(Achats!$A$5:$A$104,$A159)</f>
        <v/>
      </c>
      <c r="G159" s="18">
        <f>SUMIF(Achats!$A$5:$A$104,$A159,Achats!$D$5:$D$104)</f>
        <v/>
      </c>
    </row>
    <row r="160">
      <c r="A160" s="10" t="n">
        <v>46178</v>
      </c>
      <c r="B160" s="9" t="inlineStr">
        <is>
          <t>Vendredi</t>
        </is>
      </c>
      <c r="C160" s="18">
        <f>COUNTIF(Ventes!$A$5:$A$104,$A160)</f>
        <v/>
      </c>
      <c r="D160" s="11">
        <f>SUMPRODUCT((Ventes!$A$5:$A$104=$A160)*Ventes!$F$5:$F$104)</f>
        <v/>
      </c>
      <c r="E160" s="11">
        <f>SUMPRODUCT((Ventes!$A$5:$A$104=$A160)*Ventes!$G$5:$G$104)</f>
        <v/>
      </c>
      <c r="F160" s="18">
        <f>COUNTIF(Achats!$A$5:$A$104,$A160)</f>
        <v/>
      </c>
      <c r="G160" s="18">
        <f>SUMIF(Achats!$A$5:$A$104,$A160,Achats!$D$5:$D$104)</f>
        <v/>
      </c>
    </row>
    <row r="161">
      <c r="A161" s="23" t="n">
        <v>46179</v>
      </c>
      <c r="B161" s="24" t="inlineStr">
        <is>
          <t>Samedi</t>
        </is>
      </c>
      <c r="C161" s="25">
        <f>COUNTIF(Ventes!$A$5:$A$104,$A161)</f>
        <v/>
      </c>
      <c r="D161" s="26">
        <f>SUMPRODUCT((Ventes!$A$5:$A$104=$A161)*Ventes!$F$5:$F$104)</f>
        <v/>
      </c>
      <c r="E161" s="26">
        <f>SUMPRODUCT((Ventes!$A$5:$A$104=$A161)*Ventes!$G$5:$G$104)</f>
        <v/>
      </c>
      <c r="F161" s="25">
        <f>COUNTIF(Achats!$A$5:$A$104,$A161)</f>
        <v/>
      </c>
      <c r="G161" s="25">
        <f>SUMIF(Achats!$A$5:$A$104,$A161,Achats!$D$5:$D$104)</f>
        <v/>
      </c>
    </row>
    <row r="162">
      <c r="A162" s="23" t="n">
        <v>46180</v>
      </c>
      <c r="B162" s="24" t="inlineStr">
        <is>
          <t>Dimanche</t>
        </is>
      </c>
      <c r="C162" s="25">
        <f>COUNTIF(Ventes!$A$5:$A$104,$A162)</f>
        <v/>
      </c>
      <c r="D162" s="26">
        <f>SUMPRODUCT((Ventes!$A$5:$A$104=$A162)*Ventes!$F$5:$F$104)</f>
        <v/>
      </c>
      <c r="E162" s="26">
        <f>SUMPRODUCT((Ventes!$A$5:$A$104=$A162)*Ventes!$G$5:$G$104)</f>
        <v/>
      </c>
      <c r="F162" s="25">
        <f>COUNTIF(Achats!$A$5:$A$104,$A162)</f>
        <v/>
      </c>
      <c r="G162" s="25">
        <f>SUMIF(Achats!$A$5:$A$104,$A162,Achats!$D$5:$D$104)</f>
        <v/>
      </c>
    </row>
    <row r="163">
      <c r="A163" s="10" t="n">
        <v>46181</v>
      </c>
      <c r="B163" s="9" t="inlineStr">
        <is>
          <t>Lundi</t>
        </is>
      </c>
      <c r="C163" s="18">
        <f>COUNTIF(Ventes!$A$5:$A$104,$A163)</f>
        <v/>
      </c>
      <c r="D163" s="11">
        <f>SUMPRODUCT((Ventes!$A$5:$A$104=$A163)*Ventes!$F$5:$F$104)</f>
        <v/>
      </c>
      <c r="E163" s="11">
        <f>SUMPRODUCT((Ventes!$A$5:$A$104=$A163)*Ventes!$G$5:$G$104)</f>
        <v/>
      </c>
      <c r="F163" s="18">
        <f>COUNTIF(Achats!$A$5:$A$104,$A163)</f>
        <v/>
      </c>
      <c r="G163" s="18">
        <f>SUMIF(Achats!$A$5:$A$104,$A163,Achats!$D$5:$D$104)</f>
        <v/>
      </c>
    </row>
    <row r="164">
      <c r="A164" s="10" t="n">
        <v>46182</v>
      </c>
      <c r="B164" s="9" t="inlineStr">
        <is>
          <t>Mardi</t>
        </is>
      </c>
      <c r="C164" s="18">
        <f>COUNTIF(Ventes!$A$5:$A$104,$A164)</f>
        <v/>
      </c>
      <c r="D164" s="11">
        <f>SUMPRODUCT((Ventes!$A$5:$A$104=$A164)*Ventes!$F$5:$F$104)</f>
        <v/>
      </c>
      <c r="E164" s="11">
        <f>SUMPRODUCT((Ventes!$A$5:$A$104=$A164)*Ventes!$G$5:$G$104)</f>
        <v/>
      </c>
      <c r="F164" s="18">
        <f>COUNTIF(Achats!$A$5:$A$104,$A164)</f>
        <v/>
      </c>
      <c r="G164" s="18">
        <f>SUMIF(Achats!$A$5:$A$104,$A164,Achats!$D$5:$D$104)</f>
        <v/>
      </c>
    </row>
    <row r="165">
      <c r="A165" s="10" t="n">
        <v>46183</v>
      </c>
      <c r="B165" s="9" t="inlineStr">
        <is>
          <t>Mercredi</t>
        </is>
      </c>
      <c r="C165" s="18">
        <f>COUNTIF(Ventes!$A$5:$A$104,$A165)</f>
        <v/>
      </c>
      <c r="D165" s="11">
        <f>SUMPRODUCT((Ventes!$A$5:$A$104=$A165)*Ventes!$F$5:$F$104)</f>
        <v/>
      </c>
      <c r="E165" s="11">
        <f>SUMPRODUCT((Ventes!$A$5:$A$104=$A165)*Ventes!$G$5:$G$104)</f>
        <v/>
      </c>
      <c r="F165" s="18">
        <f>COUNTIF(Achats!$A$5:$A$104,$A165)</f>
        <v/>
      </c>
      <c r="G165" s="18">
        <f>SUMIF(Achats!$A$5:$A$104,$A165,Achats!$D$5:$D$104)</f>
        <v/>
      </c>
    </row>
    <row r="166">
      <c r="A166" s="10" t="n">
        <v>46184</v>
      </c>
      <c r="B166" s="9" t="inlineStr">
        <is>
          <t>Jeudi</t>
        </is>
      </c>
      <c r="C166" s="18">
        <f>COUNTIF(Ventes!$A$5:$A$104,$A166)</f>
        <v/>
      </c>
      <c r="D166" s="11">
        <f>SUMPRODUCT((Ventes!$A$5:$A$104=$A166)*Ventes!$F$5:$F$104)</f>
        <v/>
      </c>
      <c r="E166" s="11">
        <f>SUMPRODUCT((Ventes!$A$5:$A$104=$A166)*Ventes!$G$5:$G$104)</f>
        <v/>
      </c>
      <c r="F166" s="18">
        <f>COUNTIF(Achats!$A$5:$A$104,$A166)</f>
        <v/>
      </c>
      <c r="G166" s="18">
        <f>SUMIF(Achats!$A$5:$A$104,$A166,Achats!$D$5:$D$104)</f>
        <v/>
      </c>
    </row>
    <row r="167">
      <c r="A167" s="10" t="n">
        <v>46185</v>
      </c>
      <c r="B167" s="9" t="inlineStr">
        <is>
          <t>Vendredi</t>
        </is>
      </c>
      <c r="C167" s="18">
        <f>COUNTIF(Ventes!$A$5:$A$104,$A167)</f>
        <v/>
      </c>
      <c r="D167" s="11">
        <f>SUMPRODUCT((Ventes!$A$5:$A$104=$A167)*Ventes!$F$5:$F$104)</f>
        <v/>
      </c>
      <c r="E167" s="11">
        <f>SUMPRODUCT((Ventes!$A$5:$A$104=$A167)*Ventes!$G$5:$G$104)</f>
        <v/>
      </c>
      <c r="F167" s="18">
        <f>COUNTIF(Achats!$A$5:$A$104,$A167)</f>
        <v/>
      </c>
      <c r="G167" s="18">
        <f>SUMIF(Achats!$A$5:$A$104,$A167,Achats!$D$5:$D$104)</f>
        <v/>
      </c>
    </row>
    <row r="168">
      <c r="A168" s="23" t="n">
        <v>46186</v>
      </c>
      <c r="B168" s="24" t="inlineStr">
        <is>
          <t>Samedi</t>
        </is>
      </c>
      <c r="C168" s="25">
        <f>COUNTIF(Ventes!$A$5:$A$104,$A168)</f>
        <v/>
      </c>
      <c r="D168" s="26">
        <f>SUMPRODUCT((Ventes!$A$5:$A$104=$A168)*Ventes!$F$5:$F$104)</f>
        <v/>
      </c>
      <c r="E168" s="26">
        <f>SUMPRODUCT((Ventes!$A$5:$A$104=$A168)*Ventes!$G$5:$G$104)</f>
        <v/>
      </c>
      <c r="F168" s="25">
        <f>COUNTIF(Achats!$A$5:$A$104,$A168)</f>
        <v/>
      </c>
      <c r="G168" s="25">
        <f>SUMIF(Achats!$A$5:$A$104,$A168,Achats!$D$5:$D$104)</f>
        <v/>
      </c>
    </row>
    <row r="169">
      <c r="A169" s="23" t="n">
        <v>46187</v>
      </c>
      <c r="B169" s="24" t="inlineStr">
        <is>
          <t>Dimanche</t>
        </is>
      </c>
      <c r="C169" s="25">
        <f>COUNTIF(Ventes!$A$5:$A$104,$A169)</f>
        <v/>
      </c>
      <c r="D169" s="26">
        <f>SUMPRODUCT((Ventes!$A$5:$A$104=$A169)*Ventes!$F$5:$F$104)</f>
        <v/>
      </c>
      <c r="E169" s="26">
        <f>SUMPRODUCT((Ventes!$A$5:$A$104=$A169)*Ventes!$G$5:$G$104)</f>
        <v/>
      </c>
      <c r="F169" s="25">
        <f>COUNTIF(Achats!$A$5:$A$104,$A169)</f>
        <v/>
      </c>
      <c r="G169" s="25">
        <f>SUMIF(Achats!$A$5:$A$104,$A169,Achats!$D$5:$D$104)</f>
        <v/>
      </c>
    </row>
    <row r="170">
      <c r="A170" s="10" t="n">
        <v>46188</v>
      </c>
      <c r="B170" s="9" t="inlineStr">
        <is>
          <t>Lundi</t>
        </is>
      </c>
      <c r="C170" s="18">
        <f>COUNTIF(Ventes!$A$5:$A$104,$A170)</f>
        <v/>
      </c>
      <c r="D170" s="11">
        <f>SUMPRODUCT((Ventes!$A$5:$A$104=$A170)*Ventes!$F$5:$F$104)</f>
        <v/>
      </c>
      <c r="E170" s="11">
        <f>SUMPRODUCT((Ventes!$A$5:$A$104=$A170)*Ventes!$G$5:$G$104)</f>
        <v/>
      </c>
      <c r="F170" s="18">
        <f>COUNTIF(Achats!$A$5:$A$104,$A170)</f>
        <v/>
      </c>
      <c r="G170" s="18">
        <f>SUMIF(Achats!$A$5:$A$104,$A170,Achats!$D$5:$D$104)</f>
        <v/>
      </c>
    </row>
    <row r="171">
      <c r="A171" s="10" t="n">
        <v>46189</v>
      </c>
      <c r="B171" s="9" t="inlineStr">
        <is>
          <t>Mardi</t>
        </is>
      </c>
      <c r="C171" s="18">
        <f>COUNTIF(Ventes!$A$5:$A$104,$A171)</f>
        <v/>
      </c>
      <c r="D171" s="11">
        <f>SUMPRODUCT((Ventes!$A$5:$A$104=$A171)*Ventes!$F$5:$F$104)</f>
        <v/>
      </c>
      <c r="E171" s="11">
        <f>SUMPRODUCT((Ventes!$A$5:$A$104=$A171)*Ventes!$G$5:$G$104)</f>
        <v/>
      </c>
      <c r="F171" s="18">
        <f>COUNTIF(Achats!$A$5:$A$104,$A171)</f>
        <v/>
      </c>
      <c r="G171" s="18">
        <f>SUMIF(Achats!$A$5:$A$104,$A171,Achats!$D$5:$D$104)</f>
        <v/>
      </c>
    </row>
    <row r="172">
      <c r="A172" s="10" t="n">
        <v>46190</v>
      </c>
      <c r="B172" s="9" t="inlineStr">
        <is>
          <t>Mercredi</t>
        </is>
      </c>
      <c r="C172" s="18">
        <f>COUNTIF(Ventes!$A$5:$A$104,$A172)</f>
        <v/>
      </c>
      <c r="D172" s="11">
        <f>SUMPRODUCT((Ventes!$A$5:$A$104=$A172)*Ventes!$F$5:$F$104)</f>
        <v/>
      </c>
      <c r="E172" s="11">
        <f>SUMPRODUCT((Ventes!$A$5:$A$104=$A172)*Ventes!$G$5:$G$104)</f>
        <v/>
      </c>
      <c r="F172" s="18">
        <f>COUNTIF(Achats!$A$5:$A$104,$A172)</f>
        <v/>
      </c>
      <c r="G172" s="18">
        <f>SUMIF(Achats!$A$5:$A$104,$A172,Achats!$D$5:$D$104)</f>
        <v/>
      </c>
    </row>
    <row r="173">
      <c r="A173" s="10" t="n">
        <v>46191</v>
      </c>
      <c r="B173" s="9" t="inlineStr">
        <is>
          <t>Jeudi</t>
        </is>
      </c>
      <c r="C173" s="18">
        <f>COUNTIF(Ventes!$A$5:$A$104,$A173)</f>
        <v/>
      </c>
      <c r="D173" s="11">
        <f>SUMPRODUCT((Ventes!$A$5:$A$104=$A173)*Ventes!$F$5:$F$104)</f>
        <v/>
      </c>
      <c r="E173" s="11">
        <f>SUMPRODUCT((Ventes!$A$5:$A$104=$A173)*Ventes!$G$5:$G$104)</f>
        <v/>
      </c>
      <c r="F173" s="18">
        <f>COUNTIF(Achats!$A$5:$A$104,$A173)</f>
        <v/>
      </c>
      <c r="G173" s="18">
        <f>SUMIF(Achats!$A$5:$A$104,$A173,Achats!$D$5:$D$104)</f>
        <v/>
      </c>
    </row>
    <row r="174">
      <c r="A174" s="10" t="n">
        <v>46192</v>
      </c>
      <c r="B174" s="9" t="inlineStr">
        <is>
          <t>Vendredi</t>
        </is>
      </c>
      <c r="C174" s="18">
        <f>COUNTIF(Ventes!$A$5:$A$104,$A174)</f>
        <v/>
      </c>
      <c r="D174" s="11">
        <f>SUMPRODUCT((Ventes!$A$5:$A$104=$A174)*Ventes!$F$5:$F$104)</f>
        <v/>
      </c>
      <c r="E174" s="11">
        <f>SUMPRODUCT((Ventes!$A$5:$A$104=$A174)*Ventes!$G$5:$G$104)</f>
        <v/>
      </c>
      <c r="F174" s="18">
        <f>COUNTIF(Achats!$A$5:$A$104,$A174)</f>
        <v/>
      </c>
      <c r="G174" s="18">
        <f>SUMIF(Achats!$A$5:$A$104,$A174,Achats!$D$5:$D$104)</f>
        <v/>
      </c>
    </row>
    <row r="175">
      <c r="A175" s="23" t="n">
        <v>46193</v>
      </c>
      <c r="B175" s="24" t="inlineStr">
        <is>
          <t>Samedi</t>
        </is>
      </c>
      <c r="C175" s="25">
        <f>COUNTIF(Ventes!$A$5:$A$104,$A175)</f>
        <v/>
      </c>
      <c r="D175" s="26">
        <f>SUMPRODUCT((Ventes!$A$5:$A$104=$A175)*Ventes!$F$5:$F$104)</f>
        <v/>
      </c>
      <c r="E175" s="26">
        <f>SUMPRODUCT((Ventes!$A$5:$A$104=$A175)*Ventes!$G$5:$G$104)</f>
        <v/>
      </c>
      <c r="F175" s="25">
        <f>COUNTIF(Achats!$A$5:$A$104,$A175)</f>
        <v/>
      </c>
      <c r="G175" s="25">
        <f>SUMIF(Achats!$A$5:$A$104,$A175,Achats!$D$5:$D$104)</f>
        <v/>
      </c>
    </row>
    <row r="176">
      <c r="A176" s="23" t="n">
        <v>46194</v>
      </c>
      <c r="B176" s="24" t="inlineStr">
        <is>
          <t>Dimanche</t>
        </is>
      </c>
      <c r="C176" s="25">
        <f>COUNTIF(Ventes!$A$5:$A$104,$A176)</f>
        <v/>
      </c>
      <c r="D176" s="26">
        <f>SUMPRODUCT((Ventes!$A$5:$A$104=$A176)*Ventes!$F$5:$F$104)</f>
        <v/>
      </c>
      <c r="E176" s="26">
        <f>SUMPRODUCT((Ventes!$A$5:$A$104=$A176)*Ventes!$G$5:$G$104)</f>
        <v/>
      </c>
      <c r="F176" s="25">
        <f>COUNTIF(Achats!$A$5:$A$104,$A176)</f>
        <v/>
      </c>
      <c r="G176" s="25">
        <f>SUMIF(Achats!$A$5:$A$104,$A176,Achats!$D$5:$D$104)</f>
        <v/>
      </c>
    </row>
    <row r="177">
      <c r="A177" s="10" t="n">
        <v>46195</v>
      </c>
      <c r="B177" s="9" t="inlineStr">
        <is>
          <t>Lundi</t>
        </is>
      </c>
      <c r="C177" s="18">
        <f>COUNTIF(Ventes!$A$5:$A$104,$A177)</f>
        <v/>
      </c>
      <c r="D177" s="11">
        <f>SUMPRODUCT((Ventes!$A$5:$A$104=$A177)*Ventes!$F$5:$F$104)</f>
        <v/>
      </c>
      <c r="E177" s="11">
        <f>SUMPRODUCT((Ventes!$A$5:$A$104=$A177)*Ventes!$G$5:$G$104)</f>
        <v/>
      </c>
      <c r="F177" s="18">
        <f>COUNTIF(Achats!$A$5:$A$104,$A177)</f>
        <v/>
      </c>
      <c r="G177" s="18">
        <f>SUMIF(Achats!$A$5:$A$104,$A177,Achats!$D$5:$D$104)</f>
        <v/>
      </c>
    </row>
    <row r="178">
      <c r="A178" s="10" t="n">
        <v>46196</v>
      </c>
      <c r="B178" s="9" t="inlineStr">
        <is>
          <t>Mardi</t>
        </is>
      </c>
      <c r="C178" s="18">
        <f>COUNTIF(Ventes!$A$5:$A$104,$A178)</f>
        <v/>
      </c>
      <c r="D178" s="11">
        <f>SUMPRODUCT((Ventes!$A$5:$A$104=$A178)*Ventes!$F$5:$F$104)</f>
        <v/>
      </c>
      <c r="E178" s="11">
        <f>SUMPRODUCT((Ventes!$A$5:$A$104=$A178)*Ventes!$G$5:$G$104)</f>
        <v/>
      </c>
      <c r="F178" s="18">
        <f>COUNTIF(Achats!$A$5:$A$104,$A178)</f>
        <v/>
      </c>
      <c r="G178" s="18">
        <f>SUMIF(Achats!$A$5:$A$104,$A178,Achats!$D$5:$D$104)</f>
        <v/>
      </c>
    </row>
    <row r="179">
      <c r="A179" s="10" t="n">
        <v>46197</v>
      </c>
      <c r="B179" s="9" t="inlineStr">
        <is>
          <t>Mercredi</t>
        </is>
      </c>
      <c r="C179" s="18">
        <f>COUNTIF(Ventes!$A$5:$A$104,$A179)</f>
        <v/>
      </c>
      <c r="D179" s="11">
        <f>SUMPRODUCT((Ventes!$A$5:$A$104=$A179)*Ventes!$F$5:$F$104)</f>
        <v/>
      </c>
      <c r="E179" s="11">
        <f>SUMPRODUCT((Ventes!$A$5:$A$104=$A179)*Ventes!$G$5:$G$104)</f>
        <v/>
      </c>
      <c r="F179" s="18">
        <f>COUNTIF(Achats!$A$5:$A$104,$A179)</f>
        <v/>
      </c>
      <c r="G179" s="18">
        <f>SUMIF(Achats!$A$5:$A$104,$A179,Achats!$D$5:$D$104)</f>
        <v/>
      </c>
    </row>
    <row r="180">
      <c r="A180" s="10" t="n">
        <v>46198</v>
      </c>
      <c r="B180" s="9" t="inlineStr">
        <is>
          <t>Jeudi</t>
        </is>
      </c>
      <c r="C180" s="18">
        <f>COUNTIF(Ventes!$A$5:$A$104,$A180)</f>
        <v/>
      </c>
      <c r="D180" s="11">
        <f>SUMPRODUCT((Ventes!$A$5:$A$104=$A180)*Ventes!$F$5:$F$104)</f>
        <v/>
      </c>
      <c r="E180" s="11">
        <f>SUMPRODUCT((Ventes!$A$5:$A$104=$A180)*Ventes!$G$5:$G$104)</f>
        <v/>
      </c>
      <c r="F180" s="18">
        <f>COUNTIF(Achats!$A$5:$A$104,$A180)</f>
        <v/>
      </c>
      <c r="G180" s="18">
        <f>SUMIF(Achats!$A$5:$A$104,$A180,Achats!$D$5:$D$104)</f>
        <v/>
      </c>
    </row>
    <row r="181">
      <c r="A181" s="10" t="n">
        <v>46199</v>
      </c>
      <c r="B181" s="9" t="inlineStr">
        <is>
          <t>Vendredi</t>
        </is>
      </c>
      <c r="C181" s="18">
        <f>COUNTIF(Ventes!$A$5:$A$104,$A181)</f>
        <v/>
      </c>
      <c r="D181" s="11">
        <f>SUMPRODUCT((Ventes!$A$5:$A$104=$A181)*Ventes!$F$5:$F$104)</f>
        <v/>
      </c>
      <c r="E181" s="11">
        <f>SUMPRODUCT((Ventes!$A$5:$A$104=$A181)*Ventes!$G$5:$G$104)</f>
        <v/>
      </c>
      <c r="F181" s="18">
        <f>COUNTIF(Achats!$A$5:$A$104,$A181)</f>
        <v/>
      </c>
      <c r="G181" s="18">
        <f>SUMIF(Achats!$A$5:$A$104,$A181,Achats!$D$5:$D$104)</f>
        <v/>
      </c>
    </row>
    <row r="182">
      <c r="A182" s="23" t="n">
        <v>46200</v>
      </c>
      <c r="B182" s="24" t="inlineStr">
        <is>
          <t>Samedi</t>
        </is>
      </c>
      <c r="C182" s="25">
        <f>COUNTIF(Ventes!$A$5:$A$104,$A182)</f>
        <v/>
      </c>
      <c r="D182" s="26">
        <f>SUMPRODUCT((Ventes!$A$5:$A$104=$A182)*Ventes!$F$5:$F$104)</f>
        <v/>
      </c>
      <c r="E182" s="26">
        <f>SUMPRODUCT((Ventes!$A$5:$A$104=$A182)*Ventes!$G$5:$G$104)</f>
        <v/>
      </c>
      <c r="F182" s="25">
        <f>COUNTIF(Achats!$A$5:$A$104,$A182)</f>
        <v/>
      </c>
      <c r="G182" s="25">
        <f>SUMIF(Achats!$A$5:$A$104,$A182,Achats!$D$5:$D$104)</f>
        <v/>
      </c>
    </row>
    <row r="183">
      <c r="A183" s="23" t="n">
        <v>46201</v>
      </c>
      <c r="B183" s="24" t="inlineStr">
        <is>
          <t>Dimanche</t>
        </is>
      </c>
      <c r="C183" s="25">
        <f>COUNTIF(Ventes!$A$5:$A$104,$A183)</f>
        <v/>
      </c>
      <c r="D183" s="26">
        <f>SUMPRODUCT((Ventes!$A$5:$A$104=$A183)*Ventes!$F$5:$F$104)</f>
        <v/>
      </c>
      <c r="E183" s="26">
        <f>SUMPRODUCT((Ventes!$A$5:$A$104=$A183)*Ventes!$G$5:$G$104)</f>
        <v/>
      </c>
      <c r="F183" s="25">
        <f>COUNTIF(Achats!$A$5:$A$104,$A183)</f>
        <v/>
      </c>
      <c r="G183" s="25">
        <f>SUMIF(Achats!$A$5:$A$104,$A183,Achats!$D$5:$D$104)</f>
        <v/>
      </c>
    </row>
    <row r="184">
      <c r="A184" s="10" t="n">
        <v>46202</v>
      </c>
      <c r="B184" s="9" t="inlineStr">
        <is>
          <t>Lundi</t>
        </is>
      </c>
      <c r="C184" s="18">
        <f>COUNTIF(Ventes!$A$5:$A$104,$A184)</f>
        <v/>
      </c>
      <c r="D184" s="11">
        <f>SUMPRODUCT((Ventes!$A$5:$A$104=$A184)*Ventes!$F$5:$F$104)</f>
        <v/>
      </c>
      <c r="E184" s="11">
        <f>SUMPRODUCT((Ventes!$A$5:$A$104=$A184)*Ventes!$G$5:$G$104)</f>
        <v/>
      </c>
      <c r="F184" s="18">
        <f>COUNTIF(Achats!$A$5:$A$104,$A184)</f>
        <v/>
      </c>
      <c r="G184" s="18">
        <f>SUMIF(Achats!$A$5:$A$104,$A184,Achats!$D$5:$D$104)</f>
        <v/>
      </c>
    </row>
    <row r="185">
      <c r="A185" s="10" t="n">
        <v>46203</v>
      </c>
      <c r="B185" s="9" t="inlineStr">
        <is>
          <t>Mardi</t>
        </is>
      </c>
      <c r="C185" s="18">
        <f>COUNTIF(Ventes!$A$5:$A$104,$A185)</f>
        <v/>
      </c>
      <c r="D185" s="11">
        <f>SUMPRODUCT((Ventes!$A$5:$A$104=$A185)*Ventes!$F$5:$F$104)</f>
        <v/>
      </c>
      <c r="E185" s="11">
        <f>SUMPRODUCT((Ventes!$A$5:$A$104=$A185)*Ventes!$G$5:$G$104)</f>
        <v/>
      </c>
      <c r="F185" s="18">
        <f>COUNTIF(Achats!$A$5:$A$104,$A185)</f>
        <v/>
      </c>
      <c r="G185" s="18">
        <f>SUMIF(Achats!$A$5:$A$104,$A185,Achats!$D$5:$D$104)</f>
        <v/>
      </c>
    </row>
    <row r="186">
      <c r="A186" s="10" t="n">
        <v>46204</v>
      </c>
      <c r="B186" s="9" t="inlineStr">
        <is>
          <t>Mercredi</t>
        </is>
      </c>
      <c r="C186" s="18">
        <f>COUNTIF(Ventes!$A$5:$A$104,$A186)</f>
        <v/>
      </c>
      <c r="D186" s="11">
        <f>SUMPRODUCT((Ventes!$A$5:$A$104=$A186)*Ventes!$F$5:$F$104)</f>
        <v/>
      </c>
      <c r="E186" s="11">
        <f>SUMPRODUCT((Ventes!$A$5:$A$104=$A186)*Ventes!$G$5:$G$104)</f>
        <v/>
      </c>
      <c r="F186" s="18">
        <f>COUNTIF(Achats!$A$5:$A$104,$A186)</f>
        <v/>
      </c>
      <c r="G186" s="18">
        <f>SUMIF(Achats!$A$5:$A$104,$A186,Achats!$D$5:$D$104)</f>
        <v/>
      </c>
    </row>
    <row r="187">
      <c r="A187" s="10" t="n">
        <v>46205</v>
      </c>
      <c r="B187" s="9" t="inlineStr">
        <is>
          <t>Jeudi</t>
        </is>
      </c>
      <c r="C187" s="18">
        <f>COUNTIF(Ventes!$A$5:$A$104,$A187)</f>
        <v/>
      </c>
      <c r="D187" s="11">
        <f>SUMPRODUCT((Ventes!$A$5:$A$104=$A187)*Ventes!$F$5:$F$104)</f>
        <v/>
      </c>
      <c r="E187" s="11">
        <f>SUMPRODUCT((Ventes!$A$5:$A$104=$A187)*Ventes!$G$5:$G$104)</f>
        <v/>
      </c>
      <c r="F187" s="18">
        <f>COUNTIF(Achats!$A$5:$A$104,$A187)</f>
        <v/>
      </c>
      <c r="G187" s="18">
        <f>SUMIF(Achats!$A$5:$A$104,$A187,Achats!$D$5:$D$104)</f>
        <v/>
      </c>
    </row>
    <row r="188">
      <c r="A188" s="10" t="n">
        <v>46206</v>
      </c>
      <c r="B188" s="9" t="inlineStr">
        <is>
          <t>Vendredi</t>
        </is>
      </c>
      <c r="C188" s="18">
        <f>COUNTIF(Ventes!$A$5:$A$104,$A188)</f>
        <v/>
      </c>
      <c r="D188" s="11">
        <f>SUMPRODUCT((Ventes!$A$5:$A$104=$A188)*Ventes!$F$5:$F$104)</f>
        <v/>
      </c>
      <c r="E188" s="11">
        <f>SUMPRODUCT((Ventes!$A$5:$A$104=$A188)*Ventes!$G$5:$G$104)</f>
        <v/>
      </c>
      <c r="F188" s="18">
        <f>COUNTIF(Achats!$A$5:$A$104,$A188)</f>
        <v/>
      </c>
      <c r="G188" s="18">
        <f>SUMIF(Achats!$A$5:$A$104,$A188,Achats!$D$5:$D$104)</f>
        <v/>
      </c>
    </row>
    <row r="189">
      <c r="A189" s="23" t="n">
        <v>46207</v>
      </c>
      <c r="B189" s="24" t="inlineStr">
        <is>
          <t>Samedi</t>
        </is>
      </c>
      <c r="C189" s="25">
        <f>COUNTIF(Ventes!$A$5:$A$104,$A189)</f>
        <v/>
      </c>
      <c r="D189" s="26">
        <f>SUMPRODUCT((Ventes!$A$5:$A$104=$A189)*Ventes!$F$5:$F$104)</f>
        <v/>
      </c>
      <c r="E189" s="26">
        <f>SUMPRODUCT((Ventes!$A$5:$A$104=$A189)*Ventes!$G$5:$G$104)</f>
        <v/>
      </c>
      <c r="F189" s="25">
        <f>COUNTIF(Achats!$A$5:$A$104,$A189)</f>
        <v/>
      </c>
      <c r="G189" s="25">
        <f>SUMIF(Achats!$A$5:$A$104,$A189,Achats!$D$5:$D$104)</f>
        <v/>
      </c>
    </row>
    <row r="190">
      <c r="A190" s="23" t="n">
        <v>46208</v>
      </c>
      <c r="B190" s="24" t="inlineStr">
        <is>
          <t>Dimanche</t>
        </is>
      </c>
      <c r="C190" s="25">
        <f>COUNTIF(Ventes!$A$5:$A$104,$A190)</f>
        <v/>
      </c>
      <c r="D190" s="26">
        <f>SUMPRODUCT((Ventes!$A$5:$A$104=$A190)*Ventes!$F$5:$F$104)</f>
        <v/>
      </c>
      <c r="E190" s="26">
        <f>SUMPRODUCT((Ventes!$A$5:$A$104=$A190)*Ventes!$G$5:$G$104)</f>
        <v/>
      </c>
      <c r="F190" s="25">
        <f>COUNTIF(Achats!$A$5:$A$104,$A190)</f>
        <v/>
      </c>
      <c r="G190" s="25">
        <f>SUMIF(Achats!$A$5:$A$104,$A190,Achats!$D$5:$D$104)</f>
        <v/>
      </c>
    </row>
    <row r="191">
      <c r="A191" s="10" t="n">
        <v>46209</v>
      </c>
      <c r="B191" s="9" t="inlineStr">
        <is>
          <t>Lundi</t>
        </is>
      </c>
      <c r="C191" s="18">
        <f>COUNTIF(Ventes!$A$5:$A$104,$A191)</f>
        <v/>
      </c>
      <c r="D191" s="11">
        <f>SUMPRODUCT((Ventes!$A$5:$A$104=$A191)*Ventes!$F$5:$F$104)</f>
        <v/>
      </c>
      <c r="E191" s="11">
        <f>SUMPRODUCT((Ventes!$A$5:$A$104=$A191)*Ventes!$G$5:$G$104)</f>
        <v/>
      </c>
      <c r="F191" s="18">
        <f>COUNTIF(Achats!$A$5:$A$104,$A191)</f>
        <v/>
      </c>
      <c r="G191" s="18">
        <f>SUMIF(Achats!$A$5:$A$104,$A191,Achats!$D$5:$D$104)</f>
        <v/>
      </c>
    </row>
    <row r="192">
      <c r="A192" s="10" t="n">
        <v>46210</v>
      </c>
      <c r="B192" s="9" t="inlineStr">
        <is>
          <t>Mardi</t>
        </is>
      </c>
      <c r="C192" s="18">
        <f>COUNTIF(Ventes!$A$5:$A$104,$A192)</f>
        <v/>
      </c>
      <c r="D192" s="11">
        <f>SUMPRODUCT((Ventes!$A$5:$A$104=$A192)*Ventes!$F$5:$F$104)</f>
        <v/>
      </c>
      <c r="E192" s="11">
        <f>SUMPRODUCT((Ventes!$A$5:$A$104=$A192)*Ventes!$G$5:$G$104)</f>
        <v/>
      </c>
      <c r="F192" s="18">
        <f>COUNTIF(Achats!$A$5:$A$104,$A192)</f>
        <v/>
      </c>
      <c r="G192" s="18">
        <f>SUMIF(Achats!$A$5:$A$104,$A192,Achats!$D$5:$D$104)</f>
        <v/>
      </c>
    </row>
    <row r="193">
      <c r="A193" s="10" t="n">
        <v>46211</v>
      </c>
      <c r="B193" s="9" t="inlineStr">
        <is>
          <t>Mercredi</t>
        </is>
      </c>
      <c r="C193" s="18">
        <f>COUNTIF(Ventes!$A$5:$A$104,$A193)</f>
        <v/>
      </c>
      <c r="D193" s="11">
        <f>SUMPRODUCT((Ventes!$A$5:$A$104=$A193)*Ventes!$F$5:$F$104)</f>
        <v/>
      </c>
      <c r="E193" s="11">
        <f>SUMPRODUCT((Ventes!$A$5:$A$104=$A193)*Ventes!$G$5:$G$104)</f>
        <v/>
      </c>
      <c r="F193" s="18">
        <f>COUNTIF(Achats!$A$5:$A$104,$A193)</f>
        <v/>
      </c>
      <c r="G193" s="18">
        <f>SUMIF(Achats!$A$5:$A$104,$A193,Achats!$D$5:$D$104)</f>
        <v/>
      </c>
    </row>
    <row r="194">
      <c r="A194" s="10" t="n">
        <v>46212</v>
      </c>
      <c r="B194" s="9" t="inlineStr">
        <is>
          <t>Jeudi</t>
        </is>
      </c>
      <c r="C194" s="18">
        <f>COUNTIF(Ventes!$A$5:$A$104,$A194)</f>
        <v/>
      </c>
      <c r="D194" s="11">
        <f>SUMPRODUCT((Ventes!$A$5:$A$104=$A194)*Ventes!$F$5:$F$104)</f>
        <v/>
      </c>
      <c r="E194" s="11">
        <f>SUMPRODUCT((Ventes!$A$5:$A$104=$A194)*Ventes!$G$5:$G$104)</f>
        <v/>
      </c>
      <c r="F194" s="18">
        <f>COUNTIF(Achats!$A$5:$A$104,$A194)</f>
        <v/>
      </c>
      <c r="G194" s="18">
        <f>SUMIF(Achats!$A$5:$A$104,$A194,Achats!$D$5:$D$104)</f>
        <v/>
      </c>
    </row>
    <row r="195">
      <c r="A195" s="10" t="n">
        <v>46213</v>
      </c>
      <c r="B195" s="9" t="inlineStr">
        <is>
          <t>Vendredi</t>
        </is>
      </c>
      <c r="C195" s="18">
        <f>COUNTIF(Ventes!$A$5:$A$104,$A195)</f>
        <v/>
      </c>
      <c r="D195" s="11">
        <f>SUMPRODUCT((Ventes!$A$5:$A$104=$A195)*Ventes!$F$5:$F$104)</f>
        <v/>
      </c>
      <c r="E195" s="11">
        <f>SUMPRODUCT((Ventes!$A$5:$A$104=$A195)*Ventes!$G$5:$G$104)</f>
        <v/>
      </c>
      <c r="F195" s="18">
        <f>COUNTIF(Achats!$A$5:$A$104,$A195)</f>
        <v/>
      </c>
      <c r="G195" s="18">
        <f>SUMIF(Achats!$A$5:$A$104,$A195,Achats!$D$5:$D$104)</f>
        <v/>
      </c>
    </row>
    <row r="196">
      <c r="A196" s="23" t="n">
        <v>46214</v>
      </c>
      <c r="B196" s="24" t="inlineStr">
        <is>
          <t>Samedi</t>
        </is>
      </c>
      <c r="C196" s="25">
        <f>COUNTIF(Ventes!$A$5:$A$104,$A196)</f>
        <v/>
      </c>
      <c r="D196" s="26">
        <f>SUMPRODUCT((Ventes!$A$5:$A$104=$A196)*Ventes!$F$5:$F$104)</f>
        <v/>
      </c>
      <c r="E196" s="26">
        <f>SUMPRODUCT((Ventes!$A$5:$A$104=$A196)*Ventes!$G$5:$G$104)</f>
        <v/>
      </c>
      <c r="F196" s="25">
        <f>COUNTIF(Achats!$A$5:$A$104,$A196)</f>
        <v/>
      </c>
      <c r="G196" s="25">
        <f>SUMIF(Achats!$A$5:$A$104,$A196,Achats!$D$5:$D$104)</f>
        <v/>
      </c>
    </row>
    <row r="197">
      <c r="A197" s="23" t="n">
        <v>46215</v>
      </c>
      <c r="B197" s="24" t="inlineStr">
        <is>
          <t>Dimanche</t>
        </is>
      </c>
      <c r="C197" s="25">
        <f>COUNTIF(Ventes!$A$5:$A$104,$A197)</f>
        <v/>
      </c>
      <c r="D197" s="26">
        <f>SUMPRODUCT((Ventes!$A$5:$A$104=$A197)*Ventes!$F$5:$F$104)</f>
        <v/>
      </c>
      <c r="E197" s="26">
        <f>SUMPRODUCT((Ventes!$A$5:$A$104=$A197)*Ventes!$G$5:$G$104)</f>
        <v/>
      </c>
      <c r="F197" s="25">
        <f>COUNTIF(Achats!$A$5:$A$104,$A197)</f>
        <v/>
      </c>
      <c r="G197" s="25">
        <f>SUMIF(Achats!$A$5:$A$104,$A197,Achats!$D$5:$D$104)</f>
        <v/>
      </c>
    </row>
    <row r="198">
      <c r="A198" s="10" t="n">
        <v>46216</v>
      </c>
      <c r="B198" s="9" t="inlineStr">
        <is>
          <t>Lundi</t>
        </is>
      </c>
      <c r="C198" s="18">
        <f>COUNTIF(Ventes!$A$5:$A$104,$A198)</f>
        <v/>
      </c>
      <c r="D198" s="11">
        <f>SUMPRODUCT((Ventes!$A$5:$A$104=$A198)*Ventes!$F$5:$F$104)</f>
        <v/>
      </c>
      <c r="E198" s="11">
        <f>SUMPRODUCT((Ventes!$A$5:$A$104=$A198)*Ventes!$G$5:$G$104)</f>
        <v/>
      </c>
      <c r="F198" s="18">
        <f>COUNTIF(Achats!$A$5:$A$104,$A198)</f>
        <v/>
      </c>
      <c r="G198" s="18">
        <f>SUMIF(Achats!$A$5:$A$104,$A198,Achats!$D$5:$D$104)</f>
        <v/>
      </c>
    </row>
    <row r="199">
      <c r="A199" s="10" t="n">
        <v>46217</v>
      </c>
      <c r="B199" s="9" t="inlineStr">
        <is>
          <t>Mardi</t>
        </is>
      </c>
      <c r="C199" s="18">
        <f>COUNTIF(Ventes!$A$5:$A$104,$A199)</f>
        <v/>
      </c>
      <c r="D199" s="11">
        <f>SUMPRODUCT((Ventes!$A$5:$A$104=$A199)*Ventes!$F$5:$F$104)</f>
        <v/>
      </c>
      <c r="E199" s="11">
        <f>SUMPRODUCT((Ventes!$A$5:$A$104=$A199)*Ventes!$G$5:$G$104)</f>
        <v/>
      </c>
      <c r="F199" s="18">
        <f>COUNTIF(Achats!$A$5:$A$104,$A199)</f>
        <v/>
      </c>
      <c r="G199" s="18">
        <f>SUMIF(Achats!$A$5:$A$104,$A199,Achats!$D$5:$D$104)</f>
        <v/>
      </c>
    </row>
    <row r="200">
      <c r="A200" s="10" t="n">
        <v>46218</v>
      </c>
      <c r="B200" s="9" t="inlineStr">
        <is>
          <t>Mercredi</t>
        </is>
      </c>
      <c r="C200" s="18">
        <f>COUNTIF(Ventes!$A$5:$A$104,$A200)</f>
        <v/>
      </c>
      <c r="D200" s="11">
        <f>SUMPRODUCT((Ventes!$A$5:$A$104=$A200)*Ventes!$F$5:$F$104)</f>
        <v/>
      </c>
      <c r="E200" s="11">
        <f>SUMPRODUCT((Ventes!$A$5:$A$104=$A200)*Ventes!$G$5:$G$104)</f>
        <v/>
      </c>
      <c r="F200" s="18">
        <f>COUNTIF(Achats!$A$5:$A$104,$A200)</f>
        <v/>
      </c>
      <c r="G200" s="18">
        <f>SUMIF(Achats!$A$5:$A$104,$A200,Achats!$D$5:$D$104)</f>
        <v/>
      </c>
    </row>
    <row r="201">
      <c r="A201" s="10" t="n">
        <v>46219</v>
      </c>
      <c r="B201" s="9" t="inlineStr">
        <is>
          <t>Jeudi</t>
        </is>
      </c>
      <c r="C201" s="18">
        <f>COUNTIF(Ventes!$A$5:$A$104,$A201)</f>
        <v/>
      </c>
      <c r="D201" s="11">
        <f>SUMPRODUCT((Ventes!$A$5:$A$104=$A201)*Ventes!$F$5:$F$104)</f>
        <v/>
      </c>
      <c r="E201" s="11">
        <f>SUMPRODUCT((Ventes!$A$5:$A$104=$A201)*Ventes!$G$5:$G$104)</f>
        <v/>
      </c>
      <c r="F201" s="18">
        <f>COUNTIF(Achats!$A$5:$A$104,$A201)</f>
        <v/>
      </c>
      <c r="G201" s="18">
        <f>SUMIF(Achats!$A$5:$A$104,$A201,Achats!$D$5:$D$104)</f>
        <v/>
      </c>
    </row>
    <row r="202">
      <c r="A202" s="10" t="n">
        <v>46220</v>
      </c>
      <c r="B202" s="9" t="inlineStr">
        <is>
          <t>Vendredi</t>
        </is>
      </c>
      <c r="C202" s="18">
        <f>COUNTIF(Ventes!$A$5:$A$104,$A202)</f>
        <v/>
      </c>
      <c r="D202" s="11">
        <f>SUMPRODUCT((Ventes!$A$5:$A$104=$A202)*Ventes!$F$5:$F$104)</f>
        <v/>
      </c>
      <c r="E202" s="11">
        <f>SUMPRODUCT((Ventes!$A$5:$A$104=$A202)*Ventes!$G$5:$G$104)</f>
        <v/>
      </c>
      <c r="F202" s="18">
        <f>COUNTIF(Achats!$A$5:$A$104,$A202)</f>
        <v/>
      </c>
      <c r="G202" s="18">
        <f>SUMIF(Achats!$A$5:$A$104,$A202,Achats!$D$5:$D$104)</f>
        <v/>
      </c>
    </row>
    <row r="203">
      <c r="A203" s="23" t="n">
        <v>46221</v>
      </c>
      <c r="B203" s="24" t="inlineStr">
        <is>
          <t>Samedi</t>
        </is>
      </c>
      <c r="C203" s="25">
        <f>COUNTIF(Ventes!$A$5:$A$104,$A203)</f>
        <v/>
      </c>
      <c r="D203" s="26">
        <f>SUMPRODUCT((Ventes!$A$5:$A$104=$A203)*Ventes!$F$5:$F$104)</f>
        <v/>
      </c>
      <c r="E203" s="26">
        <f>SUMPRODUCT((Ventes!$A$5:$A$104=$A203)*Ventes!$G$5:$G$104)</f>
        <v/>
      </c>
      <c r="F203" s="25">
        <f>COUNTIF(Achats!$A$5:$A$104,$A203)</f>
        <v/>
      </c>
      <c r="G203" s="25">
        <f>SUMIF(Achats!$A$5:$A$104,$A203,Achats!$D$5:$D$104)</f>
        <v/>
      </c>
    </row>
    <row r="204">
      <c r="A204" s="23" t="n">
        <v>46222</v>
      </c>
      <c r="B204" s="24" t="inlineStr">
        <is>
          <t>Dimanche</t>
        </is>
      </c>
      <c r="C204" s="25">
        <f>COUNTIF(Ventes!$A$5:$A$104,$A204)</f>
        <v/>
      </c>
      <c r="D204" s="26">
        <f>SUMPRODUCT((Ventes!$A$5:$A$104=$A204)*Ventes!$F$5:$F$104)</f>
        <v/>
      </c>
      <c r="E204" s="26">
        <f>SUMPRODUCT((Ventes!$A$5:$A$104=$A204)*Ventes!$G$5:$G$104)</f>
        <v/>
      </c>
      <c r="F204" s="25">
        <f>COUNTIF(Achats!$A$5:$A$104,$A204)</f>
        <v/>
      </c>
      <c r="G204" s="25">
        <f>SUMIF(Achats!$A$5:$A$104,$A204,Achats!$D$5:$D$104)</f>
        <v/>
      </c>
    </row>
    <row r="205">
      <c r="A205" s="10" t="n">
        <v>46223</v>
      </c>
      <c r="B205" s="9" t="inlineStr">
        <is>
          <t>Lundi</t>
        </is>
      </c>
      <c r="C205" s="18">
        <f>COUNTIF(Ventes!$A$5:$A$104,$A205)</f>
        <v/>
      </c>
      <c r="D205" s="11">
        <f>SUMPRODUCT((Ventes!$A$5:$A$104=$A205)*Ventes!$F$5:$F$104)</f>
        <v/>
      </c>
      <c r="E205" s="11">
        <f>SUMPRODUCT((Ventes!$A$5:$A$104=$A205)*Ventes!$G$5:$G$104)</f>
        <v/>
      </c>
      <c r="F205" s="18">
        <f>COUNTIF(Achats!$A$5:$A$104,$A205)</f>
        <v/>
      </c>
      <c r="G205" s="18">
        <f>SUMIF(Achats!$A$5:$A$104,$A205,Achats!$D$5:$D$104)</f>
        <v/>
      </c>
    </row>
    <row r="206">
      <c r="A206" s="10" t="n">
        <v>46224</v>
      </c>
      <c r="B206" s="9" t="inlineStr">
        <is>
          <t>Mardi</t>
        </is>
      </c>
      <c r="C206" s="18">
        <f>COUNTIF(Ventes!$A$5:$A$104,$A206)</f>
        <v/>
      </c>
      <c r="D206" s="11">
        <f>SUMPRODUCT((Ventes!$A$5:$A$104=$A206)*Ventes!$F$5:$F$104)</f>
        <v/>
      </c>
      <c r="E206" s="11">
        <f>SUMPRODUCT((Ventes!$A$5:$A$104=$A206)*Ventes!$G$5:$G$104)</f>
        <v/>
      </c>
      <c r="F206" s="18">
        <f>COUNTIF(Achats!$A$5:$A$104,$A206)</f>
        <v/>
      </c>
      <c r="G206" s="18">
        <f>SUMIF(Achats!$A$5:$A$104,$A206,Achats!$D$5:$D$104)</f>
        <v/>
      </c>
    </row>
    <row r="207">
      <c r="A207" s="10" t="n">
        <v>46225</v>
      </c>
      <c r="B207" s="9" t="inlineStr">
        <is>
          <t>Mercredi</t>
        </is>
      </c>
      <c r="C207" s="18">
        <f>COUNTIF(Ventes!$A$5:$A$104,$A207)</f>
        <v/>
      </c>
      <c r="D207" s="11">
        <f>SUMPRODUCT((Ventes!$A$5:$A$104=$A207)*Ventes!$F$5:$F$104)</f>
        <v/>
      </c>
      <c r="E207" s="11">
        <f>SUMPRODUCT((Ventes!$A$5:$A$104=$A207)*Ventes!$G$5:$G$104)</f>
        <v/>
      </c>
      <c r="F207" s="18">
        <f>COUNTIF(Achats!$A$5:$A$104,$A207)</f>
        <v/>
      </c>
      <c r="G207" s="18">
        <f>SUMIF(Achats!$A$5:$A$104,$A207,Achats!$D$5:$D$104)</f>
        <v/>
      </c>
    </row>
    <row r="208">
      <c r="A208" s="10" t="n">
        <v>46226</v>
      </c>
      <c r="B208" s="9" t="inlineStr">
        <is>
          <t>Jeudi</t>
        </is>
      </c>
      <c r="C208" s="18">
        <f>COUNTIF(Ventes!$A$5:$A$104,$A208)</f>
        <v/>
      </c>
      <c r="D208" s="11">
        <f>SUMPRODUCT((Ventes!$A$5:$A$104=$A208)*Ventes!$F$5:$F$104)</f>
        <v/>
      </c>
      <c r="E208" s="11">
        <f>SUMPRODUCT((Ventes!$A$5:$A$104=$A208)*Ventes!$G$5:$G$104)</f>
        <v/>
      </c>
      <c r="F208" s="18">
        <f>COUNTIF(Achats!$A$5:$A$104,$A208)</f>
        <v/>
      </c>
      <c r="G208" s="18">
        <f>SUMIF(Achats!$A$5:$A$104,$A208,Achats!$D$5:$D$104)</f>
        <v/>
      </c>
    </row>
    <row r="209">
      <c r="A209" s="10" t="n">
        <v>46227</v>
      </c>
      <c r="B209" s="9" t="inlineStr">
        <is>
          <t>Vendredi</t>
        </is>
      </c>
      <c r="C209" s="18">
        <f>COUNTIF(Ventes!$A$5:$A$104,$A209)</f>
        <v/>
      </c>
      <c r="D209" s="11">
        <f>SUMPRODUCT((Ventes!$A$5:$A$104=$A209)*Ventes!$F$5:$F$104)</f>
        <v/>
      </c>
      <c r="E209" s="11">
        <f>SUMPRODUCT((Ventes!$A$5:$A$104=$A209)*Ventes!$G$5:$G$104)</f>
        <v/>
      </c>
      <c r="F209" s="18">
        <f>COUNTIF(Achats!$A$5:$A$104,$A209)</f>
        <v/>
      </c>
      <c r="G209" s="18">
        <f>SUMIF(Achats!$A$5:$A$104,$A209,Achats!$D$5:$D$104)</f>
        <v/>
      </c>
    </row>
    <row r="210">
      <c r="A210" s="23" t="n">
        <v>46228</v>
      </c>
      <c r="B210" s="24" t="inlineStr">
        <is>
          <t>Samedi</t>
        </is>
      </c>
      <c r="C210" s="25">
        <f>COUNTIF(Ventes!$A$5:$A$104,$A210)</f>
        <v/>
      </c>
      <c r="D210" s="26">
        <f>SUMPRODUCT((Ventes!$A$5:$A$104=$A210)*Ventes!$F$5:$F$104)</f>
        <v/>
      </c>
      <c r="E210" s="26">
        <f>SUMPRODUCT((Ventes!$A$5:$A$104=$A210)*Ventes!$G$5:$G$104)</f>
        <v/>
      </c>
      <c r="F210" s="25">
        <f>COUNTIF(Achats!$A$5:$A$104,$A210)</f>
        <v/>
      </c>
      <c r="G210" s="25">
        <f>SUMIF(Achats!$A$5:$A$104,$A210,Achats!$D$5:$D$104)</f>
        <v/>
      </c>
    </row>
    <row r="211">
      <c r="A211" s="23" t="n">
        <v>46229</v>
      </c>
      <c r="B211" s="24" t="inlineStr">
        <is>
          <t>Dimanche</t>
        </is>
      </c>
      <c r="C211" s="25">
        <f>COUNTIF(Ventes!$A$5:$A$104,$A211)</f>
        <v/>
      </c>
      <c r="D211" s="26">
        <f>SUMPRODUCT((Ventes!$A$5:$A$104=$A211)*Ventes!$F$5:$F$104)</f>
        <v/>
      </c>
      <c r="E211" s="26">
        <f>SUMPRODUCT((Ventes!$A$5:$A$104=$A211)*Ventes!$G$5:$G$104)</f>
        <v/>
      </c>
      <c r="F211" s="25">
        <f>COUNTIF(Achats!$A$5:$A$104,$A211)</f>
        <v/>
      </c>
      <c r="G211" s="25">
        <f>SUMIF(Achats!$A$5:$A$104,$A211,Achats!$D$5:$D$104)</f>
        <v/>
      </c>
    </row>
    <row r="212">
      <c r="A212" s="10" t="n">
        <v>46230</v>
      </c>
      <c r="B212" s="9" t="inlineStr">
        <is>
          <t>Lundi</t>
        </is>
      </c>
      <c r="C212" s="18">
        <f>COUNTIF(Ventes!$A$5:$A$104,$A212)</f>
        <v/>
      </c>
      <c r="D212" s="11">
        <f>SUMPRODUCT((Ventes!$A$5:$A$104=$A212)*Ventes!$F$5:$F$104)</f>
        <v/>
      </c>
      <c r="E212" s="11">
        <f>SUMPRODUCT((Ventes!$A$5:$A$104=$A212)*Ventes!$G$5:$G$104)</f>
        <v/>
      </c>
      <c r="F212" s="18">
        <f>COUNTIF(Achats!$A$5:$A$104,$A212)</f>
        <v/>
      </c>
      <c r="G212" s="18">
        <f>SUMIF(Achats!$A$5:$A$104,$A212,Achats!$D$5:$D$104)</f>
        <v/>
      </c>
    </row>
    <row r="213">
      <c r="A213" s="10" t="n">
        <v>46231</v>
      </c>
      <c r="B213" s="9" t="inlineStr">
        <is>
          <t>Mardi</t>
        </is>
      </c>
      <c r="C213" s="18">
        <f>COUNTIF(Ventes!$A$5:$A$104,$A213)</f>
        <v/>
      </c>
      <c r="D213" s="11">
        <f>SUMPRODUCT((Ventes!$A$5:$A$104=$A213)*Ventes!$F$5:$F$104)</f>
        <v/>
      </c>
      <c r="E213" s="11">
        <f>SUMPRODUCT((Ventes!$A$5:$A$104=$A213)*Ventes!$G$5:$G$104)</f>
        <v/>
      </c>
      <c r="F213" s="18">
        <f>COUNTIF(Achats!$A$5:$A$104,$A213)</f>
        <v/>
      </c>
      <c r="G213" s="18">
        <f>SUMIF(Achats!$A$5:$A$104,$A213,Achats!$D$5:$D$104)</f>
        <v/>
      </c>
    </row>
    <row r="214">
      <c r="A214" s="10" t="n">
        <v>46232</v>
      </c>
      <c r="B214" s="9" t="inlineStr">
        <is>
          <t>Mercredi</t>
        </is>
      </c>
      <c r="C214" s="18">
        <f>COUNTIF(Ventes!$A$5:$A$104,$A214)</f>
        <v/>
      </c>
      <c r="D214" s="11">
        <f>SUMPRODUCT((Ventes!$A$5:$A$104=$A214)*Ventes!$F$5:$F$104)</f>
        <v/>
      </c>
      <c r="E214" s="11">
        <f>SUMPRODUCT((Ventes!$A$5:$A$104=$A214)*Ventes!$G$5:$G$104)</f>
        <v/>
      </c>
      <c r="F214" s="18">
        <f>COUNTIF(Achats!$A$5:$A$104,$A214)</f>
        <v/>
      </c>
      <c r="G214" s="18">
        <f>SUMIF(Achats!$A$5:$A$104,$A214,Achats!$D$5:$D$104)</f>
        <v/>
      </c>
    </row>
    <row r="215">
      <c r="A215" s="10" t="n">
        <v>46233</v>
      </c>
      <c r="B215" s="9" t="inlineStr">
        <is>
          <t>Jeudi</t>
        </is>
      </c>
      <c r="C215" s="18">
        <f>COUNTIF(Ventes!$A$5:$A$104,$A215)</f>
        <v/>
      </c>
      <c r="D215" s="11">
        <f>SUMPRODUCT((Ventes!$A$5:$A$104=$A215)*Ventes!$F$5:$F$104)</f>
        <v/>
      </c>
      <c r="E215" s="11">
        <f>SUMPRODUCT((Ventes!$A$5:$A$104=$A215)*Ventes!$G$5:$G$104)</f>
        <v/>
      </c>
      <c r="F215" s="18">
        <f>COUNTIF(Achats!$A$5:$A$104,$A215)</f>
        <v/>
      </c>
      <c r="G215" s="18">
        <f>SUMIF(Achats!$A$5:$A$104,$A215,Achats!$D$5:$D$104)</f>
        <v/>
      </c>
    </row>
    <row r="216">
      <c r="A216" s="10" t="n">
        <v>46234</v>
      </c>
      <c r="B216" s="9" t="inlineStr">
        <is>
          <t>Vendredi</t>
        </is>
      </c>
      <c r="C216" s="18">
        <f>COUNTIF(Ventes!$A$5:$A$104,$A216)</f>
        <v/>
      </c>
      <c r="D216" s="11">
        <f>SUMPRODUCT((Ventes!$A$5:$A$104=$A216)*Ventes!$F$5:$F$104)</f>
        <v/>
      </c>
      <c r="E216" s="11">
        <f>SUMPRODUCT((Ventes!$A$5:$A$104=$A216)*Ventes!$G$5:$G$104)</f>
        <v/>
      </c>
      <c r="F216" s="18">
        <f>COUNTIF(Achats!$A$5:$A$104,$A216)</f>
        <v/>
      </c>
      <c r="G216" s="18">
        <f>SUMIF(Achats!$A$5:$A$104,$A216,Achats!$D$5:$D$104)</f>
        <v/>
      </c>
    </row>
    <row r="217">
      <c r="A217" s="23" t="n">
        <v>46235</v>
      </c>
      <c r="B217" s="24" t="inlineStr">
        <is>
          <t>Samedi</t>
        </is>
      </c>
      <c r="C217" s="25">
        <f>COUNTIF(Ventes!$A$5:$A$104,$A217)</f>
        <v/>
      </c>
      <c r="D217" s="26">
        <f>SUMPRODUCT((Ventes!$A$5:$A$104=$A217)*Ventes!$F$5:$F$104)</f>
        <v/>
      </c>
      <c r="E217" s="26">
        <f>SUMPRODUCT((Ventes!$A$5:$A$104=$A217)*Ventes!$G$5:$G$104)</f>
        <v/>
      </c>
      <c r="F217" s="25">
        <f>COUNTIF(Achats!$A$5:$A$104,$A217)</f>
        <v/>
      </c>
      <c r="G217" s="25">
        <f>SUMIF(Achats!$A$5:$A$104,$A217,Achats!$D$5:$D$104)</f>
        <v/>
      </c>
    </row>
    <row r="218">
      <c r="A218" s="23" t="n">
        <v>46236</v>
      </c>
      <c r="B218" s="24" t="inlineStr">
        <is>
          <t>Dimanche</t>
        </is>
      </c>
      <c r="C218" s="25">
        <f>COUNTIF(Ventes!$A$5:$A$104,$A218)</f>
        <v/>
      </c>
      <c r="D218" s="26">
        <f>SUMPRODUCT((Ventes!$A$5:$A$104=$A218)*Ventes!$F$5:$F$104)</f>
        <v/>
      </c>
      <c r="E218" s="26">
        <f>SUMPRODUCT((Ventes!$A$5:$A$104=$A218)*Ventes!$G$5:$G$104)</f>
        <v/>
      </c>
      <c r="F218" s="25">
        <f>COUNTIF(Achats!$A$5:$A$104,$A218)</f>
        <v/>
      </c>
      <c r="G218" s="25">
        <f>SUMIF(Achats!$A$5:$A$104,$A218,Achats!$D$5:$D$104)</f>
        <v/>
      </c>
    </row>
    <row r="219">
      <c r="A219" s="10" t="n">
        <v>46237</v>
      </c>
      <c r="B219" s="9" t="inlineStr">
        <is>
          <t>Lundi</t>
        </is>
      </c>
      <c r="C219" s="18">
        <f>COUNTIF(Ventes!$A$5:$A$104,$A219)</f>
        <v/>
      </c>
      <c r="D219" s="11">
        <f>SUMPRODUCT((Ventes!$A$5:$A$104=$A219)*Ventes!$F$5:$F$104)</f>
        <v/>
      </c>
      <c r="E219" s="11">
        <f>SUMPRODUCT((Ventes!$A$5:$A$104=$A219)*Ventes!$G$5:$G$104)</f>
        <v/>
      </c>
      <c r="F219" s="18">
        <f>COUNTIF(Achats!$A$5:$A$104,$A219)</f>
        <v/>
      </c>
      <c r="G219" s="18">
        <f>SUMIF(Achats!$A$5:$A$104,$A219,Achats!$D$5:$D$104)</f>
        <v/>
      </c>
    </row>
    <row r="220">
      <c r="A220" s="10" t="n">
        <v>46238</v>
      </c>
      <c r="B220" s="9" t="inlineStr">
        <is>
          <t>Mardi</t>
        </is>
      </c>
      <c r="C220" s="18">
        <f>COUNTIF(Ventes!$A$5:$A$104,$A220)</f>
        <v/>
      </c>
      <c r="D220" s="11">
        <f>SUMPRODUCT((Ventes!$A$5:$A$104=$A220)*Ventes!$F$5:$F$104)</f>
        <v/>
      </c>
      <c r="E220" s="11">
        <f>SUMPRODUCT((Ventes!$A$5:$A$104=$A220)*Ventes!$G$5:$G$104)</f>
        <v/>
      </c>
      <c r="F220" s="18">
        <f>COUNTIF(Achats!$A$5:$A$104,$A220)</f>
        <v/>
      </c>
      <c r="G220" s="18">
        <f>SUMIF(Achats!$A$5:$A$104,$A220,Achats!$D$5:$D$104)</f>
        <v/>
      </c>
    </row>
    <row r="221">
      <c r="A221" s="10" t="n">
        <v>46239</v>
      </c>
      <c r="B221" s="9" t="inlineStr">
        <is>
          <t>Mercredi</t>
        </is>
      </c>
      <c r="C221" s="18">
        <f>COUNTIF(Ventes!$A$5:$A$104,$A221)</f>
        <v/>
      </c>
      <c r="D221" s="11">
        <f>SUMPRODUCT((Ventes!$A$5:$A$104=$A221)*Ventes!$F$5:$F$104)</f>
        <v/>
      </c>
      <c r="E221" s="11">
        <f>SUMPRODUCT((Ventes!$A$5:$A$104=$A221)*Ventes!$G$5:$G$104)</f>
        <v/>
      </c>
      <c r="F221" s="18">
        <f>COUNTIF(Achats!$A$5:$A$104,$A221)</f>
        <v/>
      </c>
      <c r="G221" s="18">
        <f>SUMIF(Achats!$A$5:$A$104,$A221,Achats!$D$5:$D$104)</f>
        <v/>
      </c>
    </row>
    <row r="222">
      <c r="A222" s="10" t="n">
        <v>46240</v>
      </c>
      <c r="B222" s="9" t="inlineStr">
        <is>
          <t>Jeudi</t>
        </is>
      </c>
      <c r="C222" s="18">
        <f>COUNTIF(Ventes!$A$5:$A$104,$A222)</f>
        <v/>
      </c>
      <c r="D222" s="11">
        <f>SUMPRODUCT((Ventes!$A$5:$A$104=$A222)*Ventes!$F$5:$F$104)</f>
        <v/>
      </c>
      <c r="E222" s="11">
        <f>SUMPRODUCT((Ventes!$A$5:$A$104=$A222)*Ventes!$G$5:$G$104)</f>
        <v/>
      </c>
      <c r="F222" s="18">
        <f>COUNTIF(Achats!$A$5:$A$104,$A222)</f>
        <v/>
      </c>
      <c r="G222" s="18">
        <f>SUMIF(Achats!$A$5:$A$104,$A222,Achats!$D$5:$D$104)</f>
        <v/>
      </c>
    </row>
    <row r="223">
      <c r="A223" s="10" t="n">
        <v>46241</v>
      </c>
      <c r="B223" s="9" t="inlineStr">
        <is>
          <t>Vendredi</t>
        </is>
      </c>
      <c r="C223" s="18">
        <f>COUNTIF(Ventes!$A$5:$A$104,$A223)</f>
        <v/>
      </c>
      <c r="D223" s="11">
        <f>SUMPRODUCT((Ventes!$A$5:$A$104=$A223)*Ventes!$F$5:$F$104)</f>
        <v/>
      </c>
      <c r="E223" s="11">
        <f>SUMPRODUCT((Ventes!$A$5:$A$104=$A223)*Ventes!$G$5:$G$104)</f>
        <v/>
      </c>
      <c r="F223" s="18">
        <f>COUNTIF(Achats!$A$5:$A$104,$A223)</f>
        <v/>
      </c>
      <c r="G223" s="18">
        <f>SUMIF(Achats!$A$5:$A$104,$A223,Achats!$D$5:$D$104)</f>
        <v/>
      </c>
    </row>
    <row r="224">
      <c r="A224" s="23" t="n">
        <v>46242</v>
      </c>
      <c r="B224" s="24" t="inlineStr">
        <is>
          <t>Samedi</t>
        </is>
      </c>
      <c r="C224" s="25">
        <f>COUNTIF(Ventes!$A$5:$A$104,$A224)</f>
        <v/>
      </c>
      <c r="D224" s="26">
        <f>SUMPRODUCT((Ventes!$A$5:$A$104=$A224)*Ventes!$F$5:$F$104)</f>
        <v/>
      </c>
      <c r="E224" s="26">
        <f>SUMPRODUCT((Ventes!$A$5:$A$104=$A224)*Ventes!$G$5:$G$104)</f>
        <v/>
      </c>
      <c r="F224" s="25">
        <f>COUNTIF(Achats!$A$5:$A$104,$A224)</f>
        <v/>
      </c>
      <c r="G224" s="25">
        <f>SUMIF(Achats!$A$5:$A$104,$A224,Achats!$D$5:$D$104)</f>
        <v/>
      </c>
    </row>
    <row r="225">
      <c r="A225" s="23" t="n">
        <v>46243</v>
      </c>
      <c r="B225" s="24" t="inlineStr">
        <is>
          <t>Dimanche</t>
        </is>
      </c>
      <c r="C225" s="25">
        <f>COUNTIF(Ventes!$A$5:$A$104,$A225)</f>
        <v/>
      </c>
      <c r="D225" s="26">
        <f>SUMPRODUCT((Ventes!$A$5:$A$104=$A225)*Ventes!$F$5:$F$104)</f>
        <v/>
      </c>
      <c r="E225" s="26">
        <f>SUMPRODUCT((Ventes!$A$5:$A$104=$A225)*Ventes!$G$5:$G$104)</f>
        <v/>
      </c>
      <c r="F225" s="25">
        <f>COUNTIF(Achats!$A$5:$A$104,$A225)</f>
        <v/>
      </c>
      <c r="G225" s="25">
        <f>SUMIF(Achats!$A$5:$A$104,$A225,Achats!$D$5:$D$104)</f>
        <v/>
      </c>
    </row>
    <row r="226">
      <c r="A226" s="10" t="n">
        <v>46244</v>
      </c>
      <c r="B226" s="9" t="inlineStr">
        <is>
          <t>Lundi</t>
        </is>
      </c>
      <c r="C226" s="18">
        <f>COUNTIF(Ventes!$A$5:$A$104,$A226)</f>
        <v/>
      </c>
      <c r="D226" s="11">
        <f>SUMPRODUCT((Ventes!$A$5:$A$104=$A226)*Ventes!$F$5:$F$104)</f>
        <v/>
      </c>
      <c r="E226" s="11">
        <f>SUMPRODUCT((Ventes!$A$5:$A$104=$A226)*Ventes!$G$5:$G$104)</f>
        <v/>
      </c>
      <c r="F226" s="18">
        <f>COUNTIF(Achats!$A$5:$A$104,$A226)</f>
        <v/>
      </c>
      <c r="G226" s="18">
        <f>SUMIF(Achats!$A$5:$A$104,$A226,Achats!$D$5:$D$104)</f>
        <v/>
      </c>
    </row>
    <row r="227">
      <c r="A227" s="10" t="n">
        <v>46245</v>
      </c>
      <c r="B227" s="9" t="inlineStr">
        <is>
          <t>Mardi</t>
        </is>
      </c>
      <c r="C227" s="18">
        <f>COUNTIF(Ventes!$A$5:$A$104,$A227)</f>
        <v/>
      </c>
      <c r="D227" s="11">
        <f>SUMPRODUCT((Ventes!$A$5:$A$104=$A227)*Ventes!$F$5:$F$104)</f>
        <v/>
      </c>
      <c r="E227" s="11">
        <f>SUMPRODUCT((Ventes!$A$5:$A$104=$A227)*Ventes!$G$5:$G$104)</f>
        <v/>
      </c>
      <c r="F227" s="18">
        <f>COUNTIF(Achats!$A$5:$A$104,$A227)</f>
        <v/>
      </c>
      <c r="G227" s="18">
        <f>SUMIF(Achats!$A$5:$A$104,$A227,Achats!$D$5:$D$104)</f>
        <v/>
      </c>
    </row>
    <row r="228">
      <c r="A228" s="10" t="n">
        <v>46246</v>
      </c>
      <c r="B228" s="9" t="inlineStr">
        <is>
          <t>Mercredi</t>
        </is>
      </c>
      <c r="C228" s="18">
        <f>COUNTIF(Ventes!$A$5:$A$104,$A228)</f>
        <v/>
      </c>
      <c r="D228" s="11">
        <f>SUMPRODUCT((Ventes!$A$5:$A$104=$A228)*Ventes!$F$5:$F$104)</f>
        <v/>
      </c>
      <c r="E228" s="11">
        <f>SUMPRODUCT((Ventes!$A$5:$A$104=$A228)*Ventes!$G$5:$G$104)</f>
        <v/>
      </c>
      <c r="F228" s="18">
        <f>COUNTIF(Achats!$A$5:$A$104,$A228)</f>
        <v/>
      </c>
      <c r="G228" s="18">
        <f>SUMIF(Achats!$A$5:$A$104,$A228,Achats!$D$5:$D$104)</f>
        <v/>
      </c>
    </row>
    <row r="229">
      <c r="A229" s="10" t="n">
        <v>46247</v>
      </c>
      <c r="B229" s="9" t="inlineStr">
        <is>
          <t>Jeudi</t>
        </is>
      </c>
      <c r="C229" s="18">
        <f>COUNTIF(Ventes!$A$5:$A$104,$A229)</f>
        <v/>
      </c>
      <c r="D229" s="11">
        <f>SUMPRODUCT((Ventes!$A$5:$A$104=$A229)*Ventes!$F$5:$F$104)</f>
        <v/>
      </c>
      <c r="E229" s="11">
        <f>SUMPRODUCT((Ventes!$A$5:$A$104=$A229)*Ventes!$G$5:$G$104)</f>
        <v/>
      </c>
      <c r="F229" s="18">
        <f>COUNTIF(Achats!$A$5:$A$104,$A229)</f>
        <v/>
      </c>
      <c r="G229" s="18">
        <f>SUMIF(Achats!$A$5:$A$104,$A229,Achats!$D$5:$D$104)</f>
        <v/>
      </c>
    </row>
    <row r="230">
      <c r="A230" s="10" t="n">
        <v>46248</v>
      </c>
      <c r="B230" s="9" t="inlineStr">
        <is>
          <t>Vendredi</t>
        </is>
      </c>
      <c r="C230" s="18">
        <f>COUNTIF(Ventes!$A$5:$A$104,$A230)</f>
        <v/>
      </c>
      <c r="D230" s="11">
        <f>SUMPRODUCT((Ventes!$A$5:$A$104=$A230)*Ventes!$F$5:$F$104)</f>
        <v/>
      </c>
      <c r="E230" s="11">
        <f>SUMPRODUCT((Ventes!$A$5:$A$104=$A230)*Ventes!$G$5:$G$104)</f>
        <v/>
      </c>
      <c r="F230" s="18">
        <f>COUNTIF(Achats!$A$5:$A$104,$A230)</f>
        <v/>
      </c>
      <c r="G230" s="18">
        <f>SUMIF(Achats!$A$5:$A$104,$A230,Achats!$D$5:$D$104)</f>
        <v/>
      </c>
    </row>
    <row r="231">
      <c r="A231" s="23" t="n">
        <v>46249</v>
      </c>
      <c r="B231" s="24" t="inlineStr">
        <is>
          <t>Samedi</t>
        </is>
      </c>
      <c r="C231" s="25">
        <f>COUNTIF(Ventes!$A$5:$A$104,$A231)</f>
        <v/>
      </c>
      <c r="D231" s="26">
        <f>SUMPRODUCT((Ventes!$A$5:$A$104=$A231)*Ventes!$F$5:$F$104)</f>
        <v/>
      </c>
      <c r="E231" s="26">
        <f>SUMPRODUCT((Ventes!$A$5:$A$104=$A231)*Ventes!$G$5:$G$104)</f>
        <v/>
      </c>
      <c r="F231" s="25">
        <f>COUNTIF(Achats!$A$5:$A$104,$A231)</f>
        <v/>
      </c>
      <c r="G231" s="25">
        <f>SUMIF(Achats!$A$5:$A$104,$A231,Achats!$D$5:$D$104)</f>
        <v/>
      </c>
    </row>
    <row r="232">
      <c r="A232" s="23" t="n">
        <v>46250</v>
      </c>
      <c r="B232" s="24" t="inlineStr">
        <is>
          <t>Dimanche</t>
        </is>
      </c>
      <c r="C232" s="25">
        <f>COUNTIF(Ventes!$A$5:$A$104,$A232)</f>
        <v/>
      </c>
      <c r="D232" s="26">
        <f>SUMPRODUCT((Ventes!$A$5:$A$104=$A232)*Ventes!$F$5:$F$104)</f>
        <v/>
      </c>
      <c r="E232" s="26">
        <f>SUMPRODUCT((Ventes!$A$5:$A$104=$A232)*Ventes!$G$5:$G$104)</f>
        <v/>
      </c>
      <c r="F232" s="25">
        <f>COUNTIF(Achats!$A$5:$A$104,$A232)</f>
        <v/>
      </c>
      <c r="G232" s="25">
        <f>SUMIF(Achats!$A$5:$A$104,$A232,Achats!$D$5:$D$104)</f>
        <v/>
      </c>
    </row>
    <row r="233">
      <c r="A233" s="10" t="n">
        <v>46251</v>
      </c>
      <c r="B233" s="9" t="inlineStr">
        <is>
          <t>Lundi</t>
        </is>
      </c>
      <c r="C233" s="18">
        <f>COUNTIF(Ventes!$A$5:$A$104,$A233)</f>
        <v/>
      </c>
      <c r="D233" s="11">
        <f>SUMPRODUCT((Ventes!$A$5:$A$104=$A233)*Ventes!$F$5:$F$104)</f>
        <v/>
      </c>
      <c r="E233" s="11">
        <f>SUMPRODUCT((Ventes!$A$5:$A$104=$A233)*Ventes!$G$5:$G$104)</f>
        <v/>
      </c>
      <c r="F233" s="18">
        <f>COUNTIF(Achats!$A$5:$A$104,$A233)</f>
        <v/>
      </c>
      <c r="G233" s="18">
        <f>SUMIF(Achats!$A$5:$A$104,$A233,Achats!$D$5:$D$104)</f>
        <v/>
      </c>
    </row>
    <row r="234">
      <c r="A234" s="10" t="n">
        <v>46252</v>
      </c>
      <c r="B234" s="9" t="inlineStr">
        <is>
          <t>Mardi</t>
        </is>
      </c>
      <c r="C234" s="18">
        <f>COUNTIF(Ventes!$A$5:$A$104,$A234)</f>
        <v/>
      </c>
      <c r="D234" s="11">
        <f>SUMPRODUCT((Ventes!$A$5:$A$104=$A234)*Ventes!$F$5:$F$104)</f>
        <v/>
      </c>
      <c r="E234" s="11">
        <f>SUMPRODUCT((Ventes!$A$5:$A$104=$A234)*Ventes!$G$5:$G$104)</f>
        <v/>
      </c>
      <c r="F234" s="18">
        <f>COUNTIF(Achats!$A$5:$A$104,$A234)</f>
        <v/>
      </c>
      <c r="G234" s="18">
        <f>SUMIF(Achats!$A$5:$A$104,$A234,Achats!$D$5:$D$104)</f>
        <v/>
      </c>
    </row>
    <row r="235">
      <c r="A235" s="10" t="n">
        <v>46253</v>
      </c>
      <c r="B235" s="9" t="inlineStr">
        <is>
          <t>Mercredi</t>
        </is>
      </c>
      <c r="C235" s="18">
        <f>COUNTIF(Ventes!$A$5:$A$104,$A235)</f>
        <v/>
      </c>
      <c r="D235" s="11">
        <f>SUMPRODUCT((Ventes!$A$5:$A$104=$A235)*Ventes!$F$5:$F$104)</f>
        <v/>
      </c>
      <c r="E235" s="11">
        <f>SUMPRODUCT((Ventes!$A$5:$A$104=$A235)*Ventes!$G$5:$G$104)</f>
        <v/>
      </c>
      <c r="F235" s="18">
        <f>COUNTIF(Achats!$A$5:$A$104,$A235)</f>
        <v/>
      </c>
      <c r="G235" s="18">
        <f>SUMIF(Achats!$A$5:$A$104,$A235,Achats!$D$5:$D$104)</f>
        <v/>
      </c>
    </row>
    <row r="236">
      <c r="A236" s="10" t="n">
        <v>46254</v>
      </c>
      <c r="B236" s="9" t="inlineStr">
        <is>
          <t>Jeudi</t>
        </is>
      </c>
      <c r="C236" s="18">
        <f>COUNTIF(Ventes!$A$5:$A$104,$A236)</f>
        <v/>
      </c>
      <c r="D236" s="11">
        <f>SUMPRODUCT((Ventes!$A$5:$A$104=$A236)*Ventes!$F$5:$F$104)</f>
        <v/>
      </c>
      <c r="E236" s="11">
        <f>SUMPRODUCT((Ventes!$A$5:$A$104=$A236)*Ventes!$G$5:$G$104)</f>
        <v/>
      </c>
      <c r="F236" s="18">
        <f>COUNTIF(Achats!$A$5:$A$104,$A236)</f>
        <v/>
      </c>
      <c r="G236" s="18">
        <f>SUMIF(Achats!$A$5:$A$104,$A236,Achats!$D$5:$D$104)</f>
        <v/>
      </c>
    </row>
    <row r="237">
      <c r="A237" s="10" t="n">
        <v>46255</v>
      </c>
      <c r="B237" s="9" t="inlineStr">
        <is>
          <t>Vendredi</t>
        </is>
      </c>
      <c r="C237" s="18">
        <f>COUNTIF(Ventes!$A$5:$A$104,$A237)</f>
        <v/>
      </c>
      <c r="D237" s="11">
        <f>SUMPRODUCT((Ventes!$A$5:$A$104=$A237)*Ventes!$F$5:$F$104)</f>
        <v/>
      </c>
      <c r="E237" s="11">
        <f>SUMPRODUCT((Ventes!$A$5:$A$104=$A237)*Ventes!$G$5:$G$104)</f>
        <v/>
      </c>
      <c r="F237" s="18">
        <f>COUNTIF(Achats!$A$5:$A$104,$A237)</f>
        <v/>
      </c>
      <c r="G237" s="18">
        <f>SUMIF(Achats!$A$5:$A$104,$A237,Achats!$D$5:$D$104)</f>
        <v/>
      </c>
    </row>
    <row r="238">
      <c r="A238" s="23" t="n">
        <v>46256</v>
      </c>
      <c r="B238" s="24" t="inlineStr">
        <is>
          <t>Samedi</t>
        </is>
      </c>
      <c r="C238" s="25">
        <f>COUNTIF(Ventes!$A$5:$A$104,$A238)</f>
        <v/>
      </c>
      <c r="D238" s="26">
        <f>SUMPRODUCT((Ventes!$A$5:$A$104=$A238)*Ventes!$F$5:$F$104)</f>
        <v/>
      </c>
      <c r="E238" s="26">
        <f>SUMPRODUCT((Ventes!$A$5:$A$104=$A238)*Ventes!$G$5:$G$104)</f>
        <v/>
      </c>
      <c r="F238" s="25">
        <f>COUNTIF(Achats!$A$5:$A$104,$A238)</f>
        <v/>
      </c>
      <c r="G238" s="25">
        <f>SUMIF(Achats!$A$5:$A$104,$A238,Achats!$D$5:$D$104)</f>
        <v/>
      </c>
    </row>
    <row r="239">
      <c r="A239" s="23" t="n">
        <v>46257</v>
      </c>
      <c r="B239" s="24" t="inlineStr">
        <is>
          <t>Dimanche</t>
        </is>
      </c>
      <c r="C239" s="25">
        <f>COUNTIF(Ventes!$A$5:$A$104,$A239)</f>
        <v/>
      </c>
      <c r="D239" s="26">
        <f>SUMPRODUCT((Ventes!$A$5:$A$104=$A239)*Ventes!$F$5:$F$104)</f>
        <v/>
      </c>
      <c r="E239" s="26">
        <f>SUMPRODUCT((Ventes!$A$5:$A$104=$A239)*Ventes!$G$5:$G$104)</f>
        <v/>
      </c>
      <c r="F239" s="25">
        <f>COUNTIF(Achats!$A$5:$A$104,$A239)</f>
        <v/>
      </c>
      <c r="G239" s="25">
        <f>SUMIF(Achats!$A$5:$A$104,$A239,Achats!$D$5:$D$104)</f>
        <v/>
      </c>
    </row>
    <row r="240">
      <c r="A240" s="10" t="n">
        <v>46258</v>
      </c>
      <c r="B240" s="9" t="inlineStr">
        <is>
          <t>Lundi</t>
        </is>
      </c>
      <c r="C240" s="18">
        <f>COUNTIF(Ventes!$A$5:$A$104,$A240)</f>
        <v/>
      </c>
      <c r="D240" s="11">
        <f>SUMPRODUCT((Ventes!$A$5:$A$104=$A240)*Ventes!$F$5:$F$104)</f>
        <v/>
      </c>
      <c r="E240" s="11">
        <f>SUMPRODUCT((Ventes!$A$5:$A$104=$A240)*Ventes!$G$5:$G$104)</f>
        <v/>
      </c>
      <c r="F240" s="18">
        <f>COUNTIF(Achats!$A$5:$A$104,$A240)</f>
        <v/>
      </c>
      <c r="G240" s="18">
        <f>SUMIF(Achats!$A$5:$A$104,$A240,Achats!$D$5:$D$104)</f>
        <v/>
      </c>
    </row>
    <row r="241">
      <c r="A241" s="10" t="n">
        <v>46259</v>
      </c>
      <c r="B241" s="9" t="inlineStr">
        <is>
          <t>Mardi</t>
        </is>
      </c>
      <c r="C241" s="18">
        <f>COUNTIF(Ventes!$A$5:$A$104,$A241)</f>
        <v/>
      </c>
      <c r="D241" s="11">
        <f>SUMPRODUCT((Ventes!$A$5:$A$104=$A241)*Ventes!$F$5:$F$104)</f>
        <v/>
      </c>
      <c r="E241" s="11">
        <f>SUMPRODUCT((Ventes!$A$5:$A$104=$A241)*Ventes!$G$5:$G$104)</f>
        <v/>
      </c>
      <c r="F241" s="18">
        <f>COUNTIF(Achats!$A$5:$A$104,$A241)</f>
        <v/>
      </c>
      <c r="G241" s="18">
        <f>SUMIF(Achats!$A$5:$A$104,$A241,Achats!$D$5:$D$104)</f>
        <v/>
      </c>
    </row>
    <row r="242">
      <c r="A242" s="10" t="n">
        <v>46260</v>
      </c>
      <c r="B242" s="9" t="inlineStr">
        <is>
          <t>Mercredi</t>
        </is>
      </c>
      <c r="C242" s="18">
        <f>COUNTIF(Ventes!$A$5:$A$104,$A242)</f>
        <v/>
      </c>
      <c r="D242" s="11">
        <f>SUMPRODUCT((Ventes!$A$5:$A$104=$A242)*Ventes!$F$5:$F$104)</f>
        <v/>
      </c>
      <c r="E242" s="11">
        <f>SUMPRODUCT((Ventes!$A$5:$A$104=$A242)*Ventes!$G$5:$G$104)</f>
        <v/>
      </c>
      <c r="F242" s="18">
        <f>COUNTIF(Achats!$A$5:$A$104,$A242)</f>
        <v/>
      </c>
      <c r="G242" s="18">
        <f>SUMIF(Achats!$A$5:$A$104,$A242,Achats!$D$5:$D$104)</f>
        <v/>
      </c>
    </row>
    <row r="243">
      <c r="A243" s="10" t="n">
        <v>46261</v>
      </c>
      <c r="B243" s="9" t="inlineStr">
        <is>
          <t>Jeudi</t>
        </is>
      </c>
      <c r="C243" s="18">
        <f>COUNTIF(Ventes!$A$5:$A$104,$A243)</f>
        <v/>
      </c>
      <c r="D243" s="11">
        <f>SUMPRODUCT((Ventes!$A$5:$A$104=$A243)*Ventes!$F$5:$F$104)</f>
        <v/>
      </c>
      <c r="E243" s="11">
        <f>SUMPRODUCT((Ventes!$A$5:$A$104=$A243)*Ventes!$G$5:$G$104)</f>
        <v/>
      </c>
      <c r="F243" s="18">
        <f>COUNTIF(Achats!$A$5:$A$104,$A243)</f>
        <v/>
      </c>
      <c r="G243" s="18">
        <f>SUMIF(Achats!$A$5:$A$104,$A243,Achats!$D$5:$D$104)</f>
        <v/>
      </c>
    </row>
    <row r="244">
      <c r="A244" s="10" t="n">
        <v>46262</v>
      </c>
      <c r="B244" s="9" t="inlineStr">
        <is>
          <t>Vendredi</t>
        </is>
      </c>
      <c r="C244" s="18">
        <f>COUNTIF(Ventes!$A$5:$A$104,$A244)</f>
        <v/>
      </c>
      <c r="D244" s="11">
        <f>SUMPRODUCT((Ventes!$A$5:$A$104=$A244)*Ventes!$F$5:$F$104)</f>
        <v/>
      </c>
      <c r="E244" s="11">
        <f>SUMPRODUCT((Ventes!$A$5:$A$104=$A244)*Ventes!$G$5:$G$104)</f>
        <v/>
      </c>
      <c r="F244" s="18">
        <f>COUNTIF(Achats!$A$5:$A$104,$A244)</f>
        <v/>
      </c>
      <c r="G244" s="18">
        <f>SUMIF(Achats!$A$5:$A$104,$A244,Achats!$D$5:$D$104)</f>
        <v/>
      </c>
    </row>
    <row r="245">
      <c r="A245" s="23" t="n">
        <v>46263</v>
      </c>
      <c r="B245" s="24" t="inlineStr">
        <is>
          <t>Samedi</t>
        </is>
      </c>
      <c r="C245" s="25">
        <f>COUNTIF(Ventes!$A$5:$A$104,$A245)</f>
        <v/>
      </c>
      <c r="D245" s="26">
        <f>SUMPRODUCT((Ventes!$A$5:$A$104=$A245)*Ventes!$F$5:$F$104)</f>
        <v/>
      </c>
      <c r="E245" s="26">
        <f>SUMPRODUCT((Ventes!$A$5:$A$104=$A245)*Ventes!$G$5:$G$104)</f>
        <v/>
      </c>
      <c r="F245" s="25">
        <f>COUNTIF(Achats!$A$5:$A$104,$A245)</f>
        <v/>
      </c>
      <c r="G245" s="25">
        <f>SUMIF(Achats!$A$5:$A$104,$A245,Achats!$D$5:$D$104)</f>
        <v/>
      </c>
    </row>
    <row r="246">
      <c r="A246" s="23" t="n">
        <v>46264</v>
      </c>
      <c r="B246" s="24" t="inlineStr">
        <is>
          <t>Dimanche</t>
        </is>
      </c>
      <c r="C246" s="25">
        <f>COUNTIF(Ventes!$A$5:$A$104,$A246)</f>
        <v/>
      </c>
      <c r="D246" s="26">
        <f>SUMPRODUCT((Ventes!$A$5:$A$104=$A246)*Ventes!$F$5:$F$104)</f>
        <v/>
      </c>
      <c r="E246" s="26">
        <f>SUMPRODUCT((Ventes!$A$5:$A$104=$A246)*Ventes!$G$5:$G$104)</f>
        <v/>
      </c>
      <c r="F246" s="25">
        <f>COUNTIF(Achats!$A$5:$A$104,$A246)</f>
        <v/>
      </c>
      <c r="G246" s="25">
        <f>SUMIF(Achats!$A$5:$A$104,$A246,Achats!$D$5:$D$104)</f>
        <v/>
      </c>
    </row>
    <row r="247">
      <c r="A247" s="10" t="n">
        <v>46265</v>
      </c>
      <c r="B247" s="9" t="inlineStr">
        <is>
          <t>Lundi</t>
        </is>
      </c>
      <c r="C247" s="18">
        <f>COUNTIF(Ventes!$A$5:$A$104,$A247)</f>
        <v/>
      </c>
      <c r="D247" s="11">
        <f>SUMPRODUCT((Ventes!$A$5:$A$104=$A247)*Ventes!$F$5:$F$104)</f>
        <v/>
      </c>
      <c r="E247" s="11">
        <f>SUMPRODUCT((Ventes!$A$5:$A$104=$A247)*Ventes!$G$5:$G$104)</f>
        <v/>
      </c>
      <c r="F247" s="18">
        <f>COUNTIF(Achats!$A$5:$A$104,$A247)</f>
        <v/>
      </c>
      <c r="G247" s="18">
        <f>SUMIF(Achats!$A$5:$A$104,$A247,Achats!$D$5:$D$104)</f>
        <v/>
      </c>
    </row>
    <row r="248">
      <c r="A248" s="10" t="n">
        <v>46266</v>
      </c>
      <c r="B248" s="9" t="inlineStr">
        <is>
          <t>Mardi</t>
        </is>
      </c>
      <c r="C248" s="18">
        <f>COUNTIF(Ventes!$A$5:$A$104,$A248)</f>
        <v/>
      </c>
      <c r="D248" s="11">
        <f>SUMPRODUCT((Ventes!$A$5:$A$104=$A248)*Ventes!$F$5:$F$104)</f>
        <v/>
      </c>
      <c r="E248" s="11">
        <f>SUMPRODUCT((Ventes!$A$5:$A$104=$A248)*Ventes!$G$5:$G$104)</f>
        <v/>
      </c>
      <c r="F248" s="18">
        <f>COUNTIF(Achats!$A$5:$A$104,$A248)</f>
        <v/>
      </c>
      <c r="G248" s="18">
        <f>SUMIF(Achats!$A$5:$A$104,$A248,Achats!$D$5:$D$104)</f>
        <v/>
      </c>
    </row>
    <row r="249">
      <c r="A249" s="10" t="n">
        <v>46267</v>
      </c>
      <c r="B249" s="9" t="inlineStr">
        <is>
          <t>Mercredi</t>
        </is>
      </c>
      <c r="C249" s="18">
        <f>COUNTIF(Ventes!$A$5:$A$104,$A249)</f>
        <v/>
      </c>
      <c r="D249" s="11">
        <f>SUMPRODUCT((Ventes!$A$5:$A$104=$A249)*Ventes!$F$5:$F$104)</f>
        <v/>
      </c>
      <c r="E249" s="11">
        <f>SUMPRODUCT((Ventes!$A$5:$A$104=$A249)*Ventes!$G$5:$G$104)</f>
        <v/>
      </c>
      <c r="F249" s="18">
        <f>COUNTIF(Achats!$A$5:$A$104,$A249)</f>
        <v/>
      </c>
      <c r="G249" s="18">
        <f>SUMIF(Achats!$A$5:$A$104,$A249,Achats!$D$5:$D$104)</f>
        <v/>
      </c>
    </row>
    <row r="250">
      <c r="A250" s="10" t="n">
        <v>46268</v>
      </c>
      <c r="B250" s="9" t="inlineStr">
        <is>
          <t>Jeudi</t>
        </is>
      </c>
      <c r="C250" s="18">
        <f>COUNTIF(Ventes!$A$5:$A$104,$A250)</f>
        <v/>
      </c>
      <c r="D250" s="11">
        <f>SUMPRODUCT((Ventes!$A$5:$A$104=$A250)*Ventes!$F$5:$F$104)</f>
        <v/>
      </c>
      <c r="E250" s="11">
        <f>SUMPRODUCT((Ventes!$A$5:$A$104=$A250)*Ventes!$G$5:$G$104)</f>
        <v/>
      </c>
      <c r="F250" s="18">
        <f>COUNTIF(Achats!$A$5:$A$104,$A250)</f>
        <v/>
      </c>
      <c r="G250" s="18">
        <f>SUMIF(Achats!$A$5:$A$104,$A250,Achats!$D$5:$D$104)</f>
        <v/>
      </c>
    </row>
    <row r="251">
      <c r="A251" s="10" t="n">
        <v>46269</v>
      </c>
      <c r="B251" s="9" t="inlineStr">
        <is>
          <t>Vendredi</t>
        </is>
      </c>
      <c r="C251" s="18">
        <f>COUNTIF(Ventes!$A$5:$A$104,$A251)</f>
        <v/>
      </c>
      <c r="D251" s="11">
        <f>SUMPRODUCT((Ventes!$A$5:$A$104=$A251)*Ventes!$F$5:$F$104)</f>
        <v/>
      </c>
      <c r="E251" s="11">
        <f>SUMPRODUCT((Ventes!$A$5:$A$104=$A251)*Ventes!$G$5:$G$104)</f>
        <v/>
      </c>
      <c r="F251" s="18">
        <f>COUNTIF(Achats!$A$5:$A$104,$A251)</f>
        <v/>
      </c>
      <c r="G251" s="18">
        <f>SUMIF(Achats!$A$5:$A$104,$A251,Achats!$D$5:$D$104)</f>
        <v/>
      </c>
    </row>
    <row r="252">
      <c r="A252" s="23" t="n">
        <v>46270</v>
      </c>
      <c r="B252" s="24" t="inlineStr">
        <is>
          <t>Samedi</t>
        </is>
      </c>
      <c r="C252" s="25">
        <f>COUNTIF(Ventes!$A$5:$A$104,$A252)</f>
        <v/>
      </c>
      <c r="D252" s="26">
        <f>SUMPRODUCT((Ventes!$A$5:$A$104=$A252)*Ventes!$F$5:$F$104)</f>
        <v/>
      </c>
      <c r="E252" s="26">
        <f>SUMPRODUCT((Ventes!$A$5:$A$104=$A252)*Ventes!$G$5:$G$104)</f>
        <v/>
      </c>
      <c r="F252" s="25">
        <f>COUNTIF(Achats!$A$5:$A$104,$A252)</f>
        <v/>
      </c>
      <c r="G252" s="25">
        <f>SUMIF(Achats!$A$5:$A$104,$A252,Achats!$D$5:$D$104)</f>
        <v/>
      </c>
    </row>
    <row r="253">
      <c r="A253" s="23" t="n">
        <v>46271</v>
      </c>
      <c r="B253" s="24" t="inlineStr">
        <is>
          <t>Dimanche</t>
        </is>
      </c>
      <c r="C253" s="25">
        <f>COUNTIF(Ventes!$A$5:$A$104,$A253)</f>
        <v/>
      </c>
      <c r="D253" s="26">
        <f>SUMPRODUCT((Ventes!$A$5:$A$104=$A253)*Ventes!$F$5:$F$104)</f>
        <v/>
      </c>
      <c r="E253" s="26">
        <f>SUMPRODUCT((Ventes!$A$5:$A$104=$A253)*Ventes!$G$5:$G$104)</f>
        <v/>
      </c>
      <c r="F253" s="25">
        <f>COUNTIF(Achats!$A$5:$A$104,$A253)</f>
        <v/>
      </c>
      <c r="G253" s="25">
        <f>SUMIF(Achats!$A$5:$A$104,$A253,Achats!$D$5:$D$104)</f>
        <v/>
      </c>
    </row>
    <row r="254">
      <c r="A254" s="10" t="n">
        <v>46272</v>
      </c>
      <c r="B254" s="9" t="inlineStr">
        <is>
          <t>Lundi</t>
        </is>
      </c>
      <c r="C254" s="18">
        <f>COUNTIF(Ventes!$A$5:$A$104,$A254)</f>
        <v/>
      </c>
      <c r="D254" s="11">
        <f>SUMPRODUCT((Ventes!$A$5:$A$104=$A254)*Ventes!$F$5:$F$104)</f>
        <v/>
      </c>
      <c r="E254" s="11">
        <f>SUMPRODUCT((Ventes!$A$5:$A$104=$A254)*Ventes!$G$5:$G$104)</f>
        <v/>
      </c>
      <c r="F254" s="18">
        <f>COUNTIF(Achats!$A$5:$A$104,$A254)</f>
        <v/>
      </c>
      <c r="G254" s="18">
        <f>SUMIF(Achats!$A$5:$A$104,$A254,Achats!$D$5:$D$104)</f>
        <v/>
      </c>
    </row>
    <row r="255">
      <c r="A255" s="10" t="n">
        <v>46273</v>
      </c>
      <c r="B255" s="9" t="inlineStr">
        <is>
          <t>Mardi</t>
        </is>
      </c>
      <c r="C255" s="18">
        <f>COUNTIF(Ventes!$A$5:$A$104,$A255)</f>
        <v/>
      </c>
      <c r="D255" s="11">
        <f>SUMPRODUCT((Ventes!$A$5:$A$104=$A255)*Ventes!$F$5:$F$104)</f>
        <v/>
      </c>
      <c r="E255" s="11">
        <f>SUMPRODUCT((Ventes!$A$5:$A$104=$A255)*Ventes!$G$5:$G$104)</f>
        <v/>
      </c>
      <c r="F255" s="18">
        <f>COUNTIF(Achats!$A$5:$A$104,$A255)</f>
        <v/>
      </c>
      <c r="G255" s="18">
        <f>SUMIF(Achats!$A$5:$A$104,$A255,Achats!$D$5:$D$104)</f>
        <v/>
      </c>
    </row>
    <row r="256">
      <c r="A256" s="10" t="n">
        <v>46274</v>
      </c>
      <c r="B256" s="9" t="inlineStr">
        <is>
          <t>Mercredi</t>
        </is>
      </c>
      <c r="C256" s="18">
        <f>COUNTIF(Ventes!$A$5:$A$104,$A256)</f>
        <v/>
      </c>
      <c r="D256" s="11">
        <f>SUMPRODUCT((Ventes!$A$5:$A$104=$A256)*Ventes!$F$5:$F$104)</f>
        <v/>
      </c>
      <c r="E256" s="11">
        <f>SUMPRODUCT((Ventes!$A$5:$A$104=$A256)*Ventes!$G$5:$G$104)</f>
        <v/>
      </c>
      <c r="F256" s="18">
        <f>COUNTIF(Achats!$A$5:$A$104,$A256)</f>
        <v/>
      </c>
      <c r="G256" s="18">
        <f>SUMIF(Achats!$A$5:$A$104,$A256,Achats!$D$5:$D$104)</f>
        <v/>
      </c>
    </row>
    <row r="257">
      <c r="A257" s="10" t="n">
        <v>46275</v>
      </c>
      <c r="B257" s="9" t="inlineStr">
        <is>
          <t>Jeudi</t>
        </is>
      </c>
      <c r="C257" s="18">
        <f>COUNTIF(Ventes!$A$5:$A$104,$A257)</f>
        <v/>
      </c>
      <c r="D257" s="11">
        <f>SUMPRODUCT((Ventes!$A$5:$A$104=$A257)*Ventes!$F$5:$F$104)</f>
        <v/>
      </c>
      <c r="E257" s="11">
        <f>SUMPRODUCT((Ventes!$A$5:$A$104=$A257)*Ventes!$G$5:$G$104)</f>
        <v/>
      </c>
      <c r="F257" s="18">
        <f>COUNTIF(Achats!$A$5:$A$104,$A257)</f>
        <v/>
      </c>
      <c r="G257" s="18">
        <f>SUMIF(Achats!$A$5:$A$104,$A257,Achats!$D$5:$D$104)</f>
        <v/>
      </c>
    </row>
    <row r="258">
      <c r="A258" s="10" t="n">
        <v>46276</v>
      </c>
      <c r="B258" s="9" t="inlineStr">
        <is>
          <t>Vendredi</t>
        </is>
      </c>
      <c r="C258" s="18">
        <f>COUNTIF(Ventes!$A$5:$A$104,$A258)</f>
        <v/>
      </c>
      <c r="D258" s="11">
        <f>SUMPRODUCT((Ventes!$A$5:$A$104=$A258)*Ventes!$F$5:$F$104)</f>
        <v/>
      </c>
      <c r="E258" s="11">
        <f>SUMPRODUCT((Ventes!$A$5:$A$104=$A258)*Ventes!$G$5:$G$104)</f>
        <v/>
      </c>
      <c r="F258" s="18">
        <f>COUNTIF(Achats!$A$5:$A$104,$A258)</f>
        <v/>
      </c>
      <c r="G258" s="18">
        <f>SUMIF(Achats!$A$5:$A$104,$A258,Achats!$D$5:$D$104)</f>
        <v/>
      </c>
    </row>
    <row r="259">
      <c r="A259" s="23" t="n">
        <v>46277</v>
      </c>
      <c r="B259" s="24" t="inlineStr">
        <is>
          <t>Samedi</t>
        </is>
      </c>
      <c r="C259" s="25">
        <f>COUNTIF(Ventes!$A$5:$A$104,$A259)</f>
        <v/>
      </c>
      <c r="D259" s="26">
        <f>SUMPRODUCT((Ventes!$A$5:$A$104=$A259)*Ventes!$F$5:$F$104)</f>
        <v/>
      </c>
      <c r="E259" s="26">
        <f>SUMPRODUCT((Ventes!$A$5:$A$104=$A259)*Ventes!$G$5:$G$104)</f>
        <v/>
      </c>
      <c r="F259" s="25">
        <f>COUNTIF(Achats!$A$5:$A$104,$A259)</f>
        <v/>
      </c>
      <c r="G259" s="25">
        <f>SUMIF(Achats!$A$5:$A$104,$A259,Achats!$D$5:$D$104)</f>
        <v/>
      </c>
    </row>
    <row r="260">
      <c r="A260" s="23" t="n">
        <v>46278</v>
      </c>
      <c r="B260" s="24" t="inlineStr">
        <is>
          <t>Dimanche</t>
        </is>
      </c>
      <c r="C260" s="25">
        <f>COUNTIF(Ventes!$A$5:$A$104,$A260)</f>
        <v/>
      </c>
      <c r="D260" s="26">
        <f>SUMPRODUCT((Ventes!$A$5:$A$104=$A260)*Ventes!$F$5:$F$104)</f>
        <v/>
      </c>
      <c r="E260" s="26">
        <f>SUMPRODUCT((Ventes!$A$5:$A$104=$A260)*Ventes!$G$5:$G$104)</f>
        <v/>
      </c>
      <c r="F260" s="25">
        <f>COUNTIF(Achats!$A$5:$A$104,$A260)</f>
        <v/>
      </c>
      <c r="G260" s="25">
        <f>SUMIF(Achats!$A$5:$A$104,$A260,Achats!$D$5:$D$104)</f>
        <v/>
      </c>
    </row>
    <row r="261">
      <c r="A261" s="10" t="n">
        <v>46279</v>
      </c>
      <c r="B261" s="9" t="inlineStr">
        <is>
          <t>Lundi</t>
        </is>
      </c>
      <c r="C261" s="18">
        <f>COUNTIF(Ventes!$A$5:$A$104,$A261)</f>
        <v/>
      </c>
      <c r="D261" s="11">
        <f>SUMPRODUCT((Ventes!$A$5:$A$104=$A261)*Ventes!$F$5:$F$104)</f>
        <v/>
      </c>
      <c r="E261" s="11">
        <f>SUMPRODUCT((Ventes!$A$5:$A$104=$A261)*Ventes!$G$5:$G$104)</f>
        <v/>
      </c>
      <c r="F261" s="18">
        <f>COUNTIF(Achats!$A$5:$A$104,$A261)</f>
        <v/>
      </c>
      <c r="G261" s="18">
        <f>SUMIF(Achats!$A$5:$A$104,$A261,Achats!$D$5:$D$104)</f>
        <v/>
      </c>
    </row>
    <row r="262">
      <c r="A262" s="10" t="n">
        <v>46280</v>
      </c>
      <c r="B262" s="9" t="inlineStr">
        <is>
          <t>Mardi</t>
        </is>
      </c>
      <c r="C262" s="18">
        <f>COUNTIF(Ventes!$A$5:$A$104,$A262)</f>
        <v/>
      </c>
      <c r="D262" s="11">
        <f>SUMPRODUCT((Ventes!$A$5:$A$104=$A262)*Ventes!$F$5:$F$104)</f>
        <v/>
      </c>
      <c r="E262" s="11">
        <f>SUMPRODUCT((Ventes!$A$5:$A$104=$A262)*Ventes!$G$5:$G$104)</f>
        <v/>
      </c>
      <c r="F262" s="18">
        <f>COUNTIF(Achats!$A$5:$A$104,$A262)</f>
        <v/>
      </c>
      <c r="G262" s="18">
        <f>SUMIF(Achats!$A$5:$A$104,$A262,Achats!$D$5:$D$104)</f>
        <v/>
      </c>
    </row>
    <row r="263">
      <c r="A263" s="10" t="n">
        <v>46281</v>
      </c>
      <c r="B263" s="9" t="inlineStr">
        <is>
          <t>Mercredi</t>
        </is>
      </c>
      <c r="C263" s="18">
        <f>COUNTIF(Ventes!$A$5:$A$104,$A263)</f>
        <v/>
      </c>
      <c r="D263" s="11">
        <f>SUMPRODUCT((Ventes!$A$5:$A$104=$A263)*Ventes!$F$5:$F$104)</f>
        <v/>
      </c>
      <c r="E263" s="11">
        <f>SUMPRODUCT((Ventes!$A$5:$A$104=$A263)*Ventes!$G$5:$G$104)</f>
        <v/>
      </c>
      <c r="F263" s="18">
        <f>COUNTIF(Achats!$A$5:$A$104,$A263)</f>
        <v/>
      </c>
      <c r="G263" s="18">
        <f>SUMIF(Achats!$A$5:$A$104,$A263,Achats!$D$5:$D$104)</f>
        <v/>
      </c>
    </row>
    <row r="264">
      <c r="A264" s="10" t="n">
        <v>46282</v>
      </c>
      <c r="B264" s="9" t="inlineStr">
        <is>
          <t>Jeudi</t>
        </is>
      </c>
      <c r="C264" s="18">
        <f>COUNTIF(Ventes!$A$5:$A$104,$A264)</f>
        <v/>
      </c>
      <c r="D264" s="11">
        <f>SUMPRODUCT((Ventes!$A$5:$A$104=$A264)*Ventes!$F$5:$F$104)</f>
        <v/>
      </c>
      <c r="E264" s="11">
        <f>SUMPRODUCT((Ventes!$A$5:$A$104=$A264)*Ventes!$G$5:$G$104)</f>
        <v/>
      </c>
      <c r="F264" s="18">
        <f>COUNTIF(Achats!$A$5:$A$104,$A264)</f>
        <v/>
      </c>
      <c r="G264" s="18">
        <f>SUMIF(Achats!$A$5:$A$104,$A264,Achats!$D$5:$D$104)</f>
        <v/>
      </c>
    </row>
    <row r="265">
      <c r="A265" s="10" t="n">
        <v>46283</v>
      </c>
      <c r="B265" s="9" t="inlineStr">
        <is>
          <t>Vendredi</t>
        </is>
      </c>
      <c r="C265" s="18">
        <f>COUNTIF(Ventes!$A$5:$A$104,$A265)</f>
        <v/>
      </c>
      <c r="D265" s="11">
        <f>SUMPRODUCT((Ventes!$A$5:$A$104=$A265)*Ventes!$F$5:$F$104)</f>
        <v/>
      </c>
      <c r="E265" s="11">
        <f>SUMPRODUCT((Ventes!$A$5:$A$104=$A265)*Ventes!$G$5:$G$104)</f>
        <v/>
      </c>
      <c r="F265" s="18">
        <f>COUNTIF(Achats!$A$5:$A$104,$A265)</f>
        <v/>
      </c>
      <c r="G265" s="18">
        <f>SUMIF(Achats!$A$5:$A$104,$A265,Achats!$D$5:$D$104)</f>
        <v/>
      </c>
    </row>
    <row r="266">
      <c r="A266" s="23" t="n">
        <v>46284</v>
      </c>
      <c r="B266" s="24" t="inlineStr">
        <is>
          <t>Samedi</t>
        </is>
      </c>
      <c r="C266" s="25">
        <f>COUNTIF(Ventes!$A$5:$A$104,$A266)</f>
        <v/>
      </c>
      <c r="D266" s="26">
        <f>SUMPRODUCT((Ventes!$A$5:$A$104=$A266)*Ventes!$F$5:$F$104)</f>
        <v/>
      </c>
      <c r="E266" s="26">
        <f>SUMPRODUCT((Ventes!$A$5:$A$104=$A266)*Ventes!$G$5:$G$104)</f>
        <v/>
      </c>
      <c r="F266" s="25">
        <f>COUNTIF(Achats!$A$5:$A$104,$A266)</f>
        <v/>
      </c>
      <c r="G266" s="25">
        <f>SUMIF(Achats!$A$5:$A$104,$A266,Achats!$D$5:$D$104)</f>
        <v/>
      </c>
    </row>
    <row r="267">
      <c r="A267" s="23" t="n">
        <v>46285</v>
      </c>
      <c r="B267" s="24" t="inlineStr">
        <is>
          <t>Dimanche</t>
        </is>
      </c>
      <c r="C267" s="25">
        <f>COUNTIF(Ventes!$A$5:$A$104,$A267)</f>
        <v/>
      </c>
      <c r="D267" s="26">
        <f>SUMPRODUCT((Ventes!$A$5:$A$104=$A267)*Ventes!$F$5:$F$104)</f>
        <v/>
      </c>
      <c r="E267" s="26">
        <f>SUMPRODUCT((Ventes!$A$5:$A$104=$A267)*Ventes!$G$5:$G$104)</f>
        <v/>
      </c>
      <c r="F267" s="25">
        <f>COUNTIF(Achats!$A$5:$A$104,$A267)</f>
        <v/>
      </c>
      <c r="G267" s="25">
        <f>SUMIF(Achats!$A$5:$A$104,$A267,Achats!$D$5:$D$104)</f>
        <v/>
      </c>
    </row>
    <row r="268">
      <c r="A268" s="10" t="n">
        <v>46286</v>
      </c>
      <c r="B268" s="9" t="inlineStr">
        <is>
          <t>Lundi</t>
        </is>
      </c>
      <c r="C268" s="18">
        <f>COUNTIF(Ventes!$A$5:$A$104,$A268)</f>
        <v/>
      </c>
      <c r="D268" s="11">
        <f>SUMPRODUCT((Ventes!$A$5:$A$104=$A268)*Ventes!$F$5:$F$104)</f>
        <v/>
      </c>
      <c r="E268" s="11">
        <f>SUMPRODUCT((Ventes!$A$5:$A$104=$A268)*Ventes!$G$5:$G$104)</f>
        <v/>
      </c>
      <c r="F268" s="18">
        <f>COUNTIF(Achats!$A$5:$A$104,$A268)</f>
        <v/>
      </c>
      <c r="G268" s="18">
        <f>SUMIF(Achats!$A$5:$A$104,$A268,Achats!$D$5:$D$104)</f>
        <v/>
      </c>
    </row>
    <row r="269">
      <c r="A269" s="10" t="n">
        <v>46287</v>
      </c>
      <c r="B269" s="9" t="inlineStr">
        <is>
          <t>Mardi</t>
        </is>
      </c>
      <c r="C269" s="18">
        <f>COUNTIF(Ventes!$A$5:$A$104,$A269)</f>
        <v/>
      </c>
      <c r="D269" s="11">
        <f>SUMPRODUCT((Ventes!$A$5:$A$104=$A269)*Ventes!$F$5:$F$104)</f>
        <v/>
      </c>
      <c r="E269" s="11">
        <f>SUMPRODUCT((Ventes!$A$5:$A$104=$A269)*Ventes!$G$5:$G$104)</f>
        <v/>
      </c>
      <c r="F269" s="18">
        <f>COUNTIF(Achats!$A$5:$A$104,$A269)</f>
        <v/>
      </c>
      <c r="G269" s="18">
        <f>SUMIF(Achats!$A$5:$A$104,$A269,Achats!$D$5:$D$104)</f>
        <v/>
      </c>
    </row>
    <row r="270">
      <c r="A270" s="10" t="n">
        <v>46288</v>
      </c>
      <c r="B270" s="9" t="inlineStr">
        <is>
          <t>Mercredi</t>
        </is>
      </c>
      <c r="C270" s="18">
        <f>COUNTIF(Ventes!$A$5:$A$104,$A270)</f>
        <v/>
      </c>
      <c r="D270" s="11">
        <f>SUMPRODUCT((Ventes!$A$5:$A$104=$A270)*Ventes!$F$5:$F$104)</f>
        <v/>
      </c>
      <c r="E270" s="11">
        <f>SUMPRODUCT((Ventes!$A$5:$A$104=$A270)*Ventes!$G$5:$G$104)</f>
        <v/>
      </c>
      <c r="F270" s="18">
        <f>COUNTIF(Achats!$A$5:$A$104,$A270)</f>
        <v/>
      </c>
      <c r="G270" s="18">
        <f>SUMIF(Achats!$A$5:$A$104,$A270,Achats!$D$5:$D$104)</f>
        <v/>
      </c>
    </row>
    <row r="271">
      <c r="A271" s="10" t="n">
        <v>46289</v>
      </c>
      <c r="B271" s="9" t="inlineStr">
        <is>
          <t>Jeudi</t>
        </is>
      </c>
      <c r="C271" s="18">
        <f>COUNTIF(Ventes!$A$5:$A$104,$A271)</f>
        <v/>
      </c>
      <c r="D271" s="11">
        <f>SUMPRODUCT((Ventes!$A$5:$A$104=$A271)*Ventes!$F$5:$F$104)</f>
        <v/>
      </c>
      <c r="E271" s="11">
        <f>SUMPRODUCT((Ventes!$A$5:$A$104=$A271)*Ventes!$G$5:$G$104)</f>
        <v/>
      </c>
      <c r="F271" s="18">
        <f>COUNTIF(Achats!$A$5:$A$104,$A271)</f>
        <v/>
      </c>
      <c r="G271" s="18">
        <f>SUMIF(Achats!$A$5:$A$104,$A271,Achats!$D$5:$D$104)</f>
        <v/>
      </c>
    </row>
    <row r="272">
      <c r="A272" s="10" t="n">
        <v>46290</v>
      </c>
      <c r="B272" s="9" t="inlineStr">
        <is>
          <t>Vendredi</t>
        </is>
      </c>
      <c r="C272" s="18">
        <f>COUNTIF(Ventes!$A$5:$A$104,$A272)</f>
        <v/>
      </c>
      <c r="D272" s="11">
        <f>SUMPRODUCT((Ventes!$A$5:$A$104=$A272)*Ventes!$F$5:$F$104)</f>
        <v/>
      </c>
      <c r="E272" s="11">
        <f>SUMPRODUCT((Ventes!$A$5:$A$104=$A272)*Ventes!$G$5:$G$104)</f>
        <v/>
      </c>
      <c r="F272" s="18">
        <f>COUNTIF(Achats!$A$5:$A$104,$A272)</f>
        <v/>
      </c>
      <c r="G272" s="18">
        <f>SUMIF(Achats!$A$5:$A$104,$A272,Achats!$D$5:$D$104)</f>
        <v/>
      </c>
    </row>
    <row r="273">
      <c r="A273" s="23" t="n">
        <v>46291</v>
      </c>
      <c r="B273" s="24" t="inlineStr">
        <is>
          <t>Samedi</t>
        </is>
      </c>
      <c r="C273" s="25">
        <f>COUNTIF(Ventes!$A$5:$A$104,$A273)</f>
        <v/>
      </c>
      <c r="D273" s="26">
        <f>SUMPRODUCT((Ventes!$A$5:$A$104=$A273)*Ventes!$F$5:$F$104)</f>
        <v/>
      </c>
      <c r="E273" s="26">
        <f>SUMPRODUCT((Ventes!$A$5:$A$104=$A273)*Ventes!$G$5:$G$104)</f>
        <v/>
      </c>
      <c r="F273" s="25">
        <f>COUNTIF(Achats!$A$5:$A$104,$A273)</f>
        <v/>
      </c>
      <c r="G273" s="25">
        <f>SUMIF(Achats!$A$5:$A$104,$A273,Achats!$D$5:$D$104)</f>
        <v/>
      </c>
    </row>
    <row r="274">
      <c r="A274" s="23" t="n">
        <v>46292</v>
      </c>
      <c r="B274" s="24" t="inlineStr">
        <is>
          <t>Dimanche</t>
        </is>
      </c>
      <c r="C274" s="25">
        <f>COUNTIF(Ventes!$A$5:$A$104,$A274)</f>
        <v/>
      </c>
      <c r="D274" s="26">
        <f>SUMPRODUCT((Ventes!$A$5:$A$104=$A274)*Ventes!$F$5:$F$104)</f>
        <v/>
      </c>
      <c r="E274" s="26">
        <f>SUMPRODUCT((Ventes!$A$5:$A$104=$A274)*Ventes!$G$5:$G$104)</f>
        <v/>
      </c>
      <c r="F274" s="25">
        <f>COUNTIF(Achats!$A$5:$A$104,$A274)</f>
        <v/>
      </c>
      <c r="G274" s="25">
        <f>SUMIF(Achats!$A$5:$A$104,$A274,Achats!$D$5:$D$104)</f>
        <v/>
      </c>
    </row>
    <row r="275">
      <c r="A275" s="10" t="n">
        <v>46293</v>
      </c>
      <c r="B275" s="9" t="inlineStr">
        <is>
          <t>Lundi</t>
        </is>
      </c>
      <c r="C275" s="18">
        <f>COUNTIF(Ventes!$A$5:$A$104,$A275)</f>
        <v/>
      </c>
      <c r="D275" s="11">
        <f>SUMPRODUCT((Ventes!$A$5:$A$104=$A275)*Ventes!$F$5:$F$104)</f>
        <v/>
      </c>
      <c r="E275" s="11">
        <f>SUMPRODUCT((Ventes!$A$5:$A$104=$A275)*Ventes!$G$5:$G$104)</f>
        <v/>
      </c>
      <c r="F275" s="18">
        <f>COUNTIF(Achats!$A$5:$A$104,$A275)</f>
        <v/>
      </c>
      <c r="G275" s="18">
        <f>SUMIF(Achats!$A$5:$A$104,$A275,Achats!$D$5:$D$104)</f>
        <v/>
      </c>
    </row>
    <row r="276">
      <c r="A276" s="10" t="n">
        <v>46294</v>
      </c>
      <c r="B276" s="9" t="inlineStr">
        <is>
          <t>Mardi</t>
        </is>
      </c>
      <c r="C276" s="18">
        <f>COUNTIF(Ventes!$A$5:$A$104,$A276)</f>
        <v/>
      </c>
      <c r="D276" s="11">
        <f>SUMPRODUCT((Ventes!$A$5:$A$104=$A276)*Ventes!$F$5:$F$104)</f>
        <v/>
      </c>
      <c r="E276" s="11">
        <f>SUMPRODUCT((Ventes!$A$5:$A$104=$A276)*Ventes!$G$5:$G$104)</f>
        <v/>
      </c>
      <c r="F276" s="18">
        <f>COUNTIF(Achats!$A$5:$A$104,$A276)</f>
        <v/>
      </c>
      <c r="G276" s="18">
        <f>SUMIF(Achats!$A$5:$A$104,$A276,Achats!$D$5:$D$104)</f>
        <v/>
      </c>
    </row>
    <row r="277">
      <c r="A277" s="10" t="n">
        <v>46295</v>
      </c>
      <c r="B277" s="9" t="inlineStr">
        <is>
          <t>Mercredi</t>
        </is>
      </c>
      <c r="C277" s="18">
        <f>COUNTIF(Ventes!$A$5:$A$104,$A277)</f>
        <v/>
      </c>
      <c r="D277" s="11">
        <f>SUMPRODUCT((Ventes!$A$5:$A$104=$A277)*Ventes!$F$5:$F$104)</f>
        <v/>
      </c>
      <c r="E277" s="11">
        <f>SUMPRODUCT((Ventes!$A$5:$A$104=$A277)*Ventes!$G$5:$G$104)</f>
        <v/>
      </c>
      <c r="F277" s="18">
        <f>COUNTIF(Achats!$A$5:$A$104,$A277)</f>
        <v/>
      </c>
      <c r="G277" s="18">
        <f>SUMIF(Achats!$A$5:$A$104,$A277,Achats!$D$5:$D$104)</f>
        <v/>
      </c>
    </row>
    <row r="278">
      <c r="A278" s="10" t="n">
        <v>46296</v>
      </c>
      <c r="B278" s="9" t="inlineStr">
        <is>
          <t>Jeudi</t>
        </is>
      </c>
      <c r="C278" s="18">
        <f>COUNTIF(Ventes!$A$5:$A$104,$A278)</f>
        <v/>
      </c>
      <c r="D278" s="11">
        <f>SUMPRODUCT((Ventes!$A$5:$A$104=$A278)*Ventes!$F$5:$F$104)</f>
        <v/>
      </c>
      <c r="E278" s="11">
        <f>SUMPRODUCT((Ventes!$A$5:$A$104=$A278)*Ventes!$G$5:$G$104)</f>
        <v/>
      </c>
      <c r="F278" s="18">
        <f>COUNTIF(Achats!$A$5:$A$104,$A278)</f>
        <v/>
      </c>
      <c r="G278" s="18">
        <f>SUMIF(Achats!$A$5:$A$104,$A278,Achats!$D$5:$D$104)</f>
        <v/>
      </c>
    </row>
    <row r="279">
      <c r="A279" s="10" t="n">
        <v>46297</v>
      </c>
      <c r="B279" s="9" t="inlineStr">
        <is>
          <t>Vendredi</t>
        </is>
      </c>
      <c r="C279" s="18">
        <f>COUNTIF(Ventes!$A$5:$A$104,$A279)</f>
        <v/>
      </c>
      <c r="D279" s="11">
        <f>SUMPRODUCT((Ventes!$A$5:$A$104=$A279)*Ventes!$F$5:$F$104)</f>
        <v/>
      </c>
      <c r="E279" s="11">
        <f>SUMPRODUCT((Ventes!$A$5:$A$104=$A279)*Ventes!$G$5:$G$104)</f>
        <v/>
      </c>
      <c r="F279" s="18">
        <f>COUNTIF(Achats!$A$5:$A$104,$A279)</f>
        <v/>
      </c>
      <c r="G279" s="18">
        <f>SUMIF(Achats!$A$5:$A$104,$A279,Achats!$D$5:$D$104)</f>
        <v/>
      </c>
    </row>
    <row r="280">
      <c r="A280" s="23" t="n">
        <v>46298</v>
      </c>
      <c r="B280" s="24" t="inlineStr">
        <is>
          <t>Samedi</t>
        </is>
      </c>
      <c r="C280" s="25">
        <f>COUNTIF(Ventes!$A$5:$A$104,$A280)</f>
        <v/>
      </c>
      <c r="D280" s="26">
        <f>SUMPRODUCT((Ventes!$A$5:$A$104=$A280)*Ventes!$F$5:$F$104)</f>
        <v/>
      </c>
      <c r="E280" s="26">
        <f>SUMPRODUCT((Ventes!$A$5:$A$104=$A280)*Ventes!$G$5:$G$104)</f>
        <v/>
      </c>
      <c r="F280" s="25">
        <f>COUNTIF(Achats!$A$5:$A$104,$A280)</f>
        <v/>
      </c>
      <c r="G280" s="25">
        <f>SUMIF(Achats!$A$5:$A$104,$A280,Achats!$D$5:$D$104)</f>
        <v/>
      </c>
    </row>
    <row r="281">
      <c r="A281" s="23" t="n">
        <v>46299</v>
      </c>
      <c r="B281" s="24" t="inlineStr">
        <is>
          <t>Dimanche</t>
        </is>
      </c>
      <c r="C281" s="25">
        <f>COUNTIF(Ventes!$A$5:$A$104,$A281)</f>
        <v/>
      </c>
      <c r="D281" s="26">
        <f>SUMPRODUCT((Ventes!$A$5:$A$104=$A281)*Ventes!$F$5:$F$104)</f>
        <v/>
      </c>
      <c r="E281" s="26">
        <f>SUMPRODUCT((Ventes!$A$5:$A$104=$A281)*Ventes!$G$5:$G$104)</f>
        <v/>
      </c>
      <c r="F281" s="25">
        <f>COUNTIF(Achats!$A$5:$A$104,$A281)</f>
        <v/>
      </c>
      <c r="G281" s="25">
        <f>SUMIF(Achats!$A$5:$A$104,$A281,Achats!$D$5:$D$104)</f>
        <v/>
      </c>
    </row>
    <row r="282">
      <c r="A282" s="10" t="n">
        <v>46300</v>
      </c>
      <c r="B282" s="9" t="inlineStr">
        <is>
          <t>Lundi</t>
        </is>
      </c>
      <c r="C282" s="18">
        <f>COUNTIF(Ventes!$A$5:$A$104,$A282)</f>
        <v/>
      </c>
      <c r="D282" s="11">
        <f>SUMPRODUCT((Ventes!$A$5:$A$104=$A282)*Ventes!$F$5:$F$104)</f>
        <v/>
      </c>
      <c r="E282" s="11">
        <f>SUMPRODUCT((Ventes!$A$5:$A$104=$A282)*Ventes!$G$5:$G$104)</f>
        <v/>
      </c>
      <c r="F282" s="18">
        <f>COUNTIF(Achats!$A$5:$A$104,$A282)</f>
        <v/>
      </c>
      <c r="G282" s="18">
        <f>SUMIF(Achats!$A$5:$A$104,$A282,Achats!$D$5:$D$104)</f>
        <v/>
      </c>
    </row>
    <row r="283">
      <c r="A283" s="10" t="n">
        <v>46301</v>
      </c>
      <c r="B283" s="9" t="inlineStr">
        <is>
          <t>Mardi</t>
        </is>
      </c>
      <c r="C283" s="18">
        <f>COUNTIF(Ventes!$A$5:$A$104,$A283)</f>
        <v/>
      </c>
      <c r="D283" s="11">
        <f>SUMPRODUCT((Ventes!$A$5:$A$104=$A283)*Ventes!$F$5:$F$104)</f>
        <v/>
      </c>
      <c r="E283" s="11">
        <f>SUMPRODUCT((Ventes!$A$5:$A$104=$A283)*Ventes!$G$5:$G$104)</f>
        <v/>
      </c>
      <c r="F283" s="18">
        <f>COUNTIF(Achats!$A$5:$A$104,$A283)</f>
        <v/>
      </c>
      <c r="G283" s="18">
        <f>SUMIF(Achats!$A$5:$A$104,$A283,Achats!$D$5:$D$104)</f>
        <v/>
      </c>
    </row>
    <row r="284">
      <c r="A284" s="10" t="n">
        <v>46302</v>
      </c>
      <c r="B284" s="9" t="inlineStr">
        <is>
          <t>Mercredi</t>
        </is>
      </c>
      <c r="C284" s="18">
        <f>COUNTIF(Ventes!$A$5:$A$104,$A284)</f>
        <v/>
      </c>
      <c r="D284" s="11">
        <f>SUMPRODUCT((Ventes!$A$5:$A$104=$A284)*Ventes!$F$5:$F$104)</f>
        <v/>
      </c>
      <c r="E284" s="11">
        <f>SUMPRODUCT((Ventes!$A$5:$A$104=$A284)*Ventes!$G$5:$G$104)</f>
        <v/>
      </c>
      <c r="F284" s="18">
        <f>COUNTIF(Achats!$A$5:$A$104,$A284)</f>
        <v/>
      </c>
      <c r="G284" s="18">
        <f>SUMIF(Achats!$A$5:$A$104,$A284,Achats!$D$5:$D$104)</f>
        <v/>
      </c>
    </row>
    <row r="285">
      <c r="A285" s="10" t="n">
        <v>46303</v>
      </c>
      <c r="B285" s="9" t="inlineStr">
        <is>
          <t>Jeudi</t>
        </is>
      </c>
      <c r="C285" s="18">
        <f>COUNTIF(Ventes!$A$5:$A$104,$A285)</f>
        <v/>
      </c>
      <c r="D285" s="11">
        <f>SUMPRODUCT((Ventes!$A$5:$A$104=$A285)*Ventes!$F$5:$F$104)</f>
        <v/>
      </c>
      <c r="E285" s="11">
        <f>SUMPRODUCT((Ventes!$A$5:$A$104=$A285)*Ventes!$G$5:$G$104)</f>
        <v/>
      </c>
      <c r="F285" s="18">
        <f>COUNTIF(Achats!$A$5:$A$104,$A285)</f>
        <v/>
      </c>
      <c r="G285" s="18">
        <f>SUMIF(Achats!$A$5:$A$104,$A285,Achats!$D$5:$D$104)</f>
        <v/>
      </c>
    </row>
    <row r="286">
      <c r="A286" s="10" t="n">
        <v>46304</v>
      </c>
      <c r="B286" s="9" t="inlineStr">
        <is>
          <t>Vendredi</t>
        </is>
      </c>
      <c r="C286" s="18">
        <f>COUNTIF(Ventes!$A$5:$A$104,$A286)</f>
        <v/>
      </c>
      <c r="D286" s="11">
        <f>SUMPRODUCT((Ventes!$A$5:$A$104=$A286)*Ventes!$F$5:$F$104)</f>
        <v/>
      </c>
      <c r="E286" s="11">
        <f>SUMPRODUCT((Ventes!$A$5:$A$104=$A286)*Ventes!$G$5:$G$104)</f>
        <v/>
      </c>
      <c r="F286" s="18">
        <f>COUNTIF(Achats!$A$5:$A$104,$A286)</f>
        <v/>
      </c>
      <c r="G286" s="18">
        <f>SUMIF(Achats!$A$5:$A$104,$A286,Achats!$D$5:$D$104)</f>
        <v/>
      </c>
    </row>
    <row r="287">
      <c r="A287" s="23" t="n">
        <v>46305</v>
      </c>
      <c r="B287" s="24" t="inlineStr">
        <is>
          <t>Samedi</t>
        </is>
      </c>
      <c r="C287" s="25">
        <f>COUNTIF(Ventes!$A$5:$A$104,$A287)</f>
        <v/>
      </c>
      <c r="D287" s="26">
        <f>SUMPRODUCT((Ventes!$A$5:$A$104=$A287)*Ventes!$F$5:$F$104)</f>
        <v/>
      </c>
      <c r="E287" s="26">
        <f>SUMPRODUCT((Ventes!$A$5:$A$104=$A287)*Ventes!$G$5:$G$104)</f>
        <v/>
      </c>
      <c r="F287" s="25">
        <f>COUNTIF(Achats!$A$5:$A$104,$A287)</f>
        <v/>
      </c>
      <c r="G287" s="25">
        <f>SUMIF(Achats!$A$5:$A$104,$A287,Achats!$D$5:$D$104)</f>
        <v/>
      </c>
    </row>
    <row r="288">
      <c r="A288" s="23" t="n">
        <v>46306</v>
      </c>
      <c r="B288" s="24" t="inlineStr">
        <is>
          <t>Dimanche</t>
        </is>
      </c>
      <c r="C288" s="25">
        <f>COUNTIF(Ventes!$A$5:$A$104,$A288)</f>
        <v/>
      </c>
      <c r="D288" s="26">
        <f>SUMPRODUCT((Ventes!$A$5:$A$104=$A288)*Ventes!$F$5:$F$104)</f>
        <v/>
      </c>
      <c r="E288" s="26">
        <f>SUMPRODUCT((Ventes!$A$5:$A$104=$A288)*Ventes!$G$5:$G$104)</f>
        <v/>
      </c>
      <c r="F288" s="25">
        <f>COUNTIF(Achats!$A$5:$A$104,$A288)</f>
        <v/>
      </c>
      <c r="G288" s="25">
        <f>SUMIF(Achats!$A$5:$A$104,$A288,Achats!$D$5:$D$104)</f>
        <v/>
      </c>
    </row>
    <row r="289">
      <c r="A289" s="10" t="n">
        <v>46307</v>
      </c>
      <c r="B289" s="9" t="inlineStr">
        <is>
          <t>Lundi</t>
        </is>
      </c>
      <c r="C289" s="18">
        <f>COUNTIF(Ventes!$A$5:$A$104,$A289)</f>
        <v/>
      </c>
      <c r="D289" s="11">
        <f>SUMPRODUCT((Ventes!$A$5:$A$104=$A289)*Ventes!$F$5:$F$104)</f>
        <v/>
      </c>
      <c r="E289" s="11">
        <f>SUMPRODUCT((Ventes!$A$5:$A$104=$A289)*Ventes!$G$5:$G$104)</f>
        <v/>
      </c>
      <c r="F289" s="18">
        <f>COUNTIF(Achats!$A$5:$A$104,$A289)</f>
        <v/>
      </c>
      <c r="G289" s="18">
        <f>SUMIF(Achats!$A$5:$A$104,$A289,Achats!$D$5:$D$104)</f>
        <v/>
      </c>
    </row>
    <row r="290">
      <c r="A290" s="10" t="n">
        <v>46308</v>
      </c>
      <c r="B290" s="9" t="inlineStr">
        <is>
          <t>Mardi</t>
        </is>
      </c>
      <c r="C290" s="18">
        <f>COUNTIF(Ventes!$A$5:$A$104,$A290)</f>
        <v/>
      </c>
      <c r="D290" s="11">
        <f>SUMPRODUCT((Ventes!$A$5:$A$104=$A290)*Ventes!$F$5:$F$104)</f>
        <v/>
      </c>
      <c r="E290" s="11">
        <f>SUMPRODUCT((Ventes!$A$5:$A$104=$A290)*Ventes!$G$5:$G$104)</f>
        <v/>
      </c>
      <c r="F290" s="18">
        <f>COUNTIF(Achats!$A$5:$A$104,$A290)</f>
        <v/>
      </c>
      <c r="G290" s="18">
        <f>SUMIF(Achats!$A$5:$A$104,$A290,Achats!$D$5:$D$104)</f>
        <v/>
      </c>
    </row>
    <row r="291">
      <c r="A291" s="10" t="n">
        <v>46309</v>
      </c>
      <c r="B291" s="9" t="inlineStr">
        <is>
          <t>Mercredi</t>
        </is>
      </c>
      <c r="C291" s="18">
        <f>COUNTIF(Ventes!$A$5:$A$104,$A291)</f>
        <v/>
      </c>
      <c r="D291" s="11">
        <f>SUMPRODUCT((Ventes!$A$5:$A$104=$A291)*Ventes!$F$5:$F$104)</f>
        <v/>
      </c>
      <c r="E291" s="11">
        <f>SUMPRODUCT((Ventes!$A$5:$A$104=$A291)*Ventes!$G$5:$G$104)</f>
        <v/>
      </c>
      <c r="F291" s="18">
        <f>COUNTIF(Achats!$A$5:$A$104,$A291)</f>
        <v/>
      </c>
      <c r="G291" s="18">
        <f>SUMIF(Achats!$A$5:$A$104,$A291,Achats!$D$5:$D$104)</f>
        <v/>
      </c>
    </row>
    <row r="292">
      <c r="A292" s="10" t="n">
        <v>46310</v>
      </c>
      <c r="B292" s="9" t="inlineStr">
        <is>
          <t>Jeudi</t>
        </is>
      </c>
      <c r="C292" s="18">
        <f>COUNTIF(Ventes!$A$5:$A$104,$A292)</f>
        <v/>
      </c>
      <c r="D292" s="11">
        <f>SUMPRODUCT((Ventes!$A$5:$A$104=$A292)*Ventes!$F$5:$F$104)</f>
        <v/>
      </c>
      <c r="E292" s="11">
        <f>SUMPRODUCT((Ventes!$A$5:$A$104=$A292)*Ventes!$G$5:$G$104)</f>
        <v/>
      </c>
      <c r="F292" s="18">
        <f>COUNTIF(Achats!$A$5:$A$104,$A292)</f>
        <v/>
      </c>
      <c r="G292" s="18">
        <f>SUMIF(Achats!$A$5:$A$104,$A292,Achats!$D$5:$D$104)</f>
        <v/>
      </c>
    </row>
    <row r="293">
      <c r="A293" s="10" t="n">
        <v>46311</v>
      </c>
      <c r="B293" s="9" t="inlineStr">
        <is>
          <t>Vendredi</t>
        </is>
      </c>
      <c r="C293" s="18">
        <f>COUNTIF(Ventes!$A$5:$A$104,$A293)</f>
        <v/>
      </c>
      <c r="D293" s="11">
        <f>SUMPRODUCT((Ventes!$A$5:$A$104=$A293)*Ventes!$F$5:$F$104)</f>
        <v/>
      </c>
      <c r="E293" s="11">
        <f>SUMPRODUCT((Ventes!$A$5:$A$104=$A293)*Ventes!$G$5:$G$104)</f>
        <v/>
      </c>
      <c r="F293" s="18">
        <f>COUNTIF(Achats!$A$5:$A$104,$A293)</f>
        <v/>
      </c>
      <c r="G293" s="18">
        <f>SUMIF(Achats!$A$5:$A$104,$A293,Achats!$D$5:$D$104)</f>
        <v/>
      </c>
    </row>
    <row r="294">
      <c r="A294" s="23" t="n">
        <v>46312</v>
      </c>
      <c r="B294" s="24" t="inlineStr">
        <is>
          <t>Samedi</t>
        </is>
      </c>
      <c r="C294" s="25">
        <f>COUNTIF(Ventes!$A$5:$A$104,$A294)</f>
        <v/>
      </c>
      <c r="D294" s="26">
        <f>SUMPRODUCT((Ventes!$A$5:$A$104=$A294)*Ventes!$F$5:$F$104)</f>
        <v/>
      </c>
      <c r="E294" s="26">
        <f>SUMPRODUCT((Ventes!$A$5:$A$104=$A294)*Ventes!$G$5:$G$104)</f>
        <v/>
      </c>
      <c r="F294" s="25">
        <f>COUNTIF(Achats!$A$5:$A$104,$A294)</f>
        <v/>
      </c>
      <c r="G294" s="25">
        <f>SUMIF(Achats!$A$5:$A$104,$A294,Achats!$D$5:$D$104)</f>
        <v/>
      </c>
    </row>
    <row r="295">
      <c r="A295" s="23" t="n">
        <v>46313</v>
      </c>
      <c r="B295" s="24" t="inlineStr">
        <is>
          <t>Dimanche</t>
        </is>
      </c>
      <c r="C295" s="25">
        <f>COUNTIF(Ventes!$A$5:$A$104,$A295)</f>
        <v/>
      </c>
      <c r="D295" s="26">
        <f>SUMPRODUCT((Ventes!$A$5:$A$104=$A295)*Ventes!$F$5:$F$104)</f>
        <v/>
      </c>
      <c r="E295" s="26">
        <f>SUMPRODUCT((Ventes!$A$5:$A$104=$A295)*Ventes!$G$5:$G$104)</f>
        <v/>
      </c>
      <c r="F295" s="25">
        <f>COUNTIF(Achats!$A$5:$A$104,$A295)</f>
        <v/>
      </c>
      <c r="G295" s="25">
        <f>SUMIF(Achats!$A$5:$A$104,$A295,Achats!$D$5:$D$104)</f>
        <v/>
      </c>
    </row>
    <row r="296">
      <c r="A296" s="10" t="n">
        <v>46314</v>
      </c>
      <c r="B296" s="9" t="inlineStr">
        <is>
          <t>Lundi</t>
        </is>
      </c>
      <c r="C296" s="18">
        <f>COUNTIF(Ventes!$A$5:$A$104,$A296)</f>
        <v/>
      </c>
      <c r="D296" s="11">
        <f>SUMPRODUCT((Ventes!$A$5:$A$104=$A296)*Ventes!$F$5:$F$104)</f>
        <v/>
      </c>
      <c r="E296" s="11">
        <f>SUMPRODUCT((Ventes!$A$5:$A$104=$A296)*Ventes!$G$5:$G$104)</f>
        <v/>
      </c>
      <c r="F296" s="18">
        <f>COUNTIF(Achats!$A$5:$A$104,$A296)</f>
        <v/>
      </c>
      <c r="G296" s="18">
        <f>SUMIF(Achats!$A$5:$A$104,$A296,Achats!$D$5:$D$104)</f>
        <v/>
      </c>
    </row>
    <row r="297">
      <c r="A297" s="10" t="n">
        <v>46315</v>
      </c>
      <c r="B297" s="9" t="inlineStr">
        <is>
          <t>Mardi</t>
        </is>
      </c>
      <c r="C297" s="18">
        <f>COUNTIF(Ventes!$A$5:$A$104,$A297)</f>
        <v/>
      </c>
      <c r="D297" s="11">
        <f>SUMPRODUCT((Ventes!$A$5:$A$104=$A297)*Ventes!$F$5:$F$104)</f>
        <v/>
      </c>
      <c r="E297" s="11">
        <f>SUMPRODUCT((Ventes!$A$5:$A$104=$A297)*Ventes!$G$5:$G$104)</f>
        <v/>
      </c>
      <c r="F297" s="18">
        <f>COUNTIF(Achats!$A$5:$A$104,$A297)</f>
        <v/>
      </c>
      <c r="G297" s="18">
        <f>SUMIF(Achats!$A$5:$A$104,$A297,Achats!$D$5:$D$104)</f>
        <v/>
      </c>
    </row>
    <row r="298">
      <c r="A298" s="10" t="n">
        <v>46316</v>
      </c>
      <c r="B298" s="9" t="inlineStr">
        <is>
          <t>Mercredi</t>
        </is>
      </c>
      <c r="C298" s="18">
        <f>COUNTIF(Ventes!$A$5:$A$104,$A298)</f>
        <v/>
      </c>
      <c r="D298" s="11">
        <f>SUMPRODUCT((Ventes!$A$5:$A$104=$A298)*Ventes!$F$5:$F$104)</f>
        <v/>
      </c>
      <c r="E298" s="11">
        <f>SUMPRODUCT((Ventes!$A$5:$A$104=$A298)*Ventes!$G$5:$G$104)</f>
        <v/>
      </c>
      <c r="F298" s="18">
        <f>COUNTIF(Achats!$A$5:$A$104,$A298)</f>
        <v/>
      </c>
      <c r="G298" s="18">
        <f>SUMIF(Achats!$A$5:$A$104,$A298,Achats!$D$5:$D$104)</f>
        <v/>
      </c>
    </row>
    <row r="299">
      <c r="A299" s="10" t="n">
        <v>46317</v>
      </c>
      <c r="B299" s="9" t="inlineStr">
        <is>
          <t>Jeudi</t>
        </is>
      </c>
      <c r="C299" s="18">
        <f>COUNTIF(Ventes!$A$5:$A$104,$A299)</f>
        <v/>
      </c>
      <c r="D299" s="11">
        <f>SUMPRODUCT((Ventes!$A$5:$A$104=$A299)*Ventes!$F$5:$F$104)</f>
        <v/>
      </c>
      <c r="E299" s="11">
        <f>SUMPRODUCT((Ventes!$A$5:$A$104=$A299)*Ventes!$G$5:$G$104)</f>
        <v/>
      </c>
      <c r="F299" s="18">
        <f>COUNTIF(Achats!$A$5:$A$104,$A299)</f>
        <v/>
      </c>
      <c r="G299" s="18">
        <f>SUMIF(Achats!$A$5:$A$104,$A299,Achats!$D$5:$D$104)</f>
        <v/>
      </c>
    </row>
    <row r="300">
      <c r="A300" s="10" t="n">
        <v>46318</v>
      </c>
      <c r="B300" s="9" t="inlineStr">
        <is>
          <t>Vendredi</t>
        </is>
      </c>
      <c r="C300" s="18">
        <f>COUNTIF(Ventes!$A$5:$A$104,$A300)</f>
        <v/>
      </c>
      <c r="D300" s="11">
        <f>SUMPRODUCT((Ventes!$A$5:$A$104=$A300)*Ventes!$F$5:$F$104)</f>
        <v/>
      </c>
      <c r="E300" s="11">
        <f>SUMPRODUCT((Ventes!$A$5:$A$104=$A300)*Ventes!$G$5:$G$104)</f>
        <v/>
      </c>
      <c r="F300" s="18">
        <f>COUNTIF(Achats!$A$5:$A$104,$A300)</f>
        <v/>
      </c>
      <c r="G300" s="18">
        <f>SUMIF(Achats!$A$5:$A$104,$A300,Achats!$D$5:$D$104)</f>
        <v/>
      </c>
    </row>
    <row r="301">
      <c r="A301" s="23" t="n">
        <v>46319</v>
      </c>
      <c r="B301" s="24" t="inlineStr">
        <is>
          <t>Samedi</t>
        </is>
      </c>
      <c r="C301" s="25">
        <f>COUNTIF(Ventes!$A$5:$A$104,$A301)</f>
        <v/>
      </c>
      <c r="D301" s="26">
        <f>SUMPRODUCT((Ventes!$A$5:$A$104=$A301)*Ventes!$F$5:$F$104)</f>
        <v/>
      </c>
      <c r="E301" s="26">
        <f>SUMPRODUCT((Ventes!$A$5:$A$104=$A301)*Ventes!$G$5:$G$104)</f>
        <v/>
      </c>
      <c r="F301" s="25">
        <f>COUNTIF(Achats!$A$5:$A$104,$A301)</f>
        <v/>
      </c>
      <c r="G301" s="25">
        <f>SUMIF(Achats!$A$5:$A$104,$A301,Achats!$D$5:$D$104)</f>
        <v/>
      </c>
    </row>
    <row r="302">
      <c r="A302" s="23" t="n">
        <v>46320</v>
      </c>
      <c r="B302" s="24" t="inlineStr">
        <is>
          <t>Dimanche</t>
        </is>
      </c>
      <c r="C302" s="25">
        <f>COUNTIF(Ventes!$A$5:$A$104,$A302)</f>
        <v/>
      </c>
      <c r="D302" s="26">
        <f>SUMPRODUCT((Ventes!$A$5:$A$104=$A302)*Ventes!$F$5:$F$104)</f>
        <v/>
      </c>
      <c r="E302" s="26">
        <f>SUMPRODUCT((Ventes!$A$5:$A$104=$A302)*Ventes!$G$5:$G$104)</f>
        <v/>
      </c>
      <c r="F302" s="25">
        <f>COUNTIF(Achats!$A$5:$A$104,$A302)</f>
        <v/>
      </c>
      <c r="G302" s="25">
        <f>SUMIF(Achats!$A$5:$A$104,$A302,Achats!$D$5:$D$104)</f>
        <v/>
      </c>
    </row>
    <row r="303">
      <c r="A303" s="10" t="n">
        <v>46321</v>
      </c>
      <c r="B303" s="9" t="inlineStr">
        <is>
          <t>Lundi</t>
        </is>
      </c>
      <c r="C303" s="18">
        <f>COUNTIF(Ventes!$A$5:$A$104,$A303)</f>
        <v/>
      </c>
      <c r="D303" s="11">
        <f>SUMPRODUCT((Ventes!$A$5:$A$104=$A303)*Ventes!$F$5:$F$104)</f>
        <v/>
      </c>
      <c r="E303" s="11">
        <f>SUMPRODUCT((Ventes!$A$5:$A$104=$A303)*Ventes!$G$5:$G$104)</f>
        <v/>
      </c>
      <c r="F303" s="18">
        <f>COUNTIF(Achats!$A$5:$A$104,$A303)</f>
        <v/>
      </c>
      <c r="G303" s="18">
        <f>SUMIF(Achats!$A$5:$A$104,$A303,Achats!$D$5:$D$104)</f>
        <v/>
      </c>
    </row>
    <row r="304">
      <c r="A304" s="10" t="n">
        <v>46322</v>
      </c>
      <c r="B304" s="9" t="inlineStr">
        <is>
          <t>Mardi</t>
        </is>
      </c>
      <c r="C304" s="18">
        <f>COUNTIF(Ventes!$A$5:$A$104,$A304)</f>
        <v/>
      </c>
      <c r="D304" s="11">
        <f>SUMPRODUCT((Ventes!$A$5:$A$104=$A304)*Ventes!$F$5:$F$104)</f>
        <v/>
      </c>
      <c r="E304" s="11">
        <f>SUMPRODUCT((Ventes!$A$5:$A$104=$A304)*Ventes!$G$5:$G$104)</f>
        <v/>
      </c>
      <c r="F304" s="18">
        <f>COUNTIF(Achats!$A$5:$A$104,$A304)</f>
        <v/>
      </c>
      <c r="G304" s="18">
        <f>SUMIF(Achats!$A$5:$A$104,$A304,Achats!$D$5:$D$104)</f>
        <v/>
      </c>
    </row>
    <row r="305">
      <c r="A305" s="10" t="n">
        <v>46323</v>
      </c>
      <c r="B305" s="9" t="inlineStr">
        <is>
          <t>Mercredi</t>
        </is>
      </c>
      <c r="C305" s="18">
        <f>COUNTIF(Ventes!$A$5:$A$104,$A305)</f>
        <v/>
      </c>
      <c r="D305" s="11">
        <f>SUMPRODUCT((Ventes!$A$5:$A$104=$A305)*Ventes!$F$5:$F$104)</f>
        <v/>
      </c>
      <c r="E305" s="11">
        <f>SUMPRODUCT((Ventes!$A$5:$A$104=$A305)*Ventes!$G$5:$G$104)</f>
        <v/>
      </c>
      <c r="F305" s="18">
        <f>COUNTIF(Achats!$A$5:$A$104,$A305)</f>
        <v/>
      </c>
      <c r="G305" s="18">
        <f>SUMIF(Achats!$A$5:$A$104,$A305,Achats!$D$5:$D$104)</f>
        <v/>
      </c>
    </row>
    <row r="306">
      <c r="A306" s="10" t="n">
        <v>46324</v>
      </c>
      <c r="B306" s="9" t="inlineStr">
        <is>
          <t>Jeudi</t>
        </is>
      </c>
      <c r="C306" s="18">
        <f>COUNTIF(Ventes!$A$5:$A$104,$A306)</f>
        <v/>
      </c>
      <c r="D306" s="11">
        <f>SUMPRODUCT((Ventes!$A$5:$A$104=$A306)*Ventes!$F$5:$F$104)</f>
        <v/>
      </c>
      <c r="E306" s="11">
        <f>SUMPRODUCT((Ventes!$A$5:$A$104=$A306)*Ventes!$G$5:$G$104)</f>
        <v/>
      </c>
      <c r="F306" s="18">
        <f>COUNTIF(Achats!$A$5:$A$104,$A306)</f>
        <v/>
      </c>
      <c r="G306" s="18">
        <f>SUMIF(Achats!$A$5:$A$104,$A306,Achats!$D$5:$D$104)</f>
        <v/>
      </c>
    </row>
    <row r="307">
      <c r="A307" s="10" t="n">
        <v>46325</v>
      </c>
      <c r="B307" s="9" t="inlineStr">
        <is>
          <t>Vendredi</t>
        </is>
      </c>
      <c r="C307" s="18">
        <f>COUNTIF(Ventes!$A$5:$A$104,$A307)</f>
        <v/>
      </c>
      <c r="D307" s="11">
        <f>SUMPRODUCT((Ventes!$A$5:$A$104=$A307)*Ventes!$F$5:$F$104)</f>
        <v/>
      </c>
      <c r="E307" s="11">
        <f>SUMPRODUCT((Ventes!$A$5:$A$104=$A307)*Ventes!$G$5:$G$104)</f>
        <v/>
      </c>
      <c r="F307" s="18">
        <f>COUNTIF(Achats!$A$5:$A$104,$A307)</f>
        <v/>
      </c>
      <c r="G307" s="18">
        <f>SUMIF(Achats!$A$5:$A$104,$A307,Achats!$D$5:$D$104)</f>
        <v/>
      </c>
    </row>
    <row r="308">
      <c r="A308" s="23" t="n">
        <v>46326</v>
      </c>
      <c r="B308" s="24" t="inlineStr">
        <is>
          <t>Samedi</t>
        </is>
      </c>
      <c r="C308" s="25">
        <f>COUNTIF(Ventes!$A$5:$A$104,$A308)</f>
        <v/>
      </c>
      <c r="D308" s="26">
        <f>SUMPRODUCT((Ventes!$A$5:$A$104=$A308)*Ventes!$F$5:$F$104)</f>
        <v/>
      </c>
      <c r="E308" s="26">
        <f>SUMPRODUCT((Ventes!$A$5:$A$104=$A308)*Ventes!$G$5:$G$104)</f>
        <v/>
      </c>
      <c r="F308" s="25">
        <f>COUNTIF(Achats!$A$5:$A$104,$A308)</f>
        <v/>
      </c>
      <c r="G308" s="25">
        <f>SUMIF(Achats!$A$5:$A$104,$A308,Achats!$D$5:$D$104)</f>
        <v/>
      </c>
    </row>
    <row r="309">
      <c r="A309" s="23" t="n">
        <v>46327</v>
      </c>
      <c r="B309" s="24" t="inlineStr">
        <is>
          <t>Dimanche</t>
        </is>
      </c>
      <c r="C309" s="25">
        <f>COUNTIF(Ventes!$A$5:$A$104,$A309)</f>
        <v/>
      </c>
      <c r="D309" s="26">
        <f>SUMPRODUCT((Ventes!$A$5:$A$104=$A309)*Ventes!$F$5:$F$104)</f>
        <v/>
      </c>
      <c r="E309" s="26">
        <f>SUMPRODUCT((Ventes!$A$5:$A$104=$A309)*Ventes!$G$5:$G$104)</f>
        <v/>
      </c>
      <c r="F309" s="25">
        <f>COUNTIF(Achats!$A$5:$A$104,$A309)</f>
        <v/>
      </c>
      <c r="G309" s="25">
        <f>SUMIF(Achats!$A$5:$A$104,$A309,Achats!$D$5:$D$104)</f>
        <v/>
      </c>
    </row>
    <row r="310">
      <c r="A310" s="10" t="n">
        <v>46328</v>
      </c>
      <c r="B310" s="9" t="inlineStr">
        <is>
          <t>Lundi</t>
        </is>
      </c>
      <c r="C310" s="18">
        <f>COUNTIF(Ventes!$A$5:$A$104,$A310)</f>
        <v/>
      </c>
      <c r="D310" s="11">
        <f>SUMPRODUCT((Ventes!$A$5:$A$104=$A310)*Ventes!$F$5:$F$104)</f>
        <v/>
      </c>
      <c r="E310" s="11">
        <f>SUMPRODUCT((Ventes!$A$5:$A$104=$A310)*Ventes!$G$5:$G$104)</f>
        <v/>
      </c>
      <c r="F310" s="18">
        <f>COUNTIF(Achats!$A$5:$A$104,$A310)</f>
        <v/>
      </c>
      <c r="G310" s="18">
        <f>SUMIF(Achats!$A$5:$A$104,$A310,Achats!$D$5:$D$104)</f>
        <v/>
      </c>
    </row>
    <row r="311">
      <c r="A311" s="10" t="n">
        <v>46329</v>
      </c>
      <c r="B311" s="9" t="inlineStr">
        <is>
          <t>Mardi</t>
        </is>
      </c>
      <c r="C311" s="18">
        <f>COUNTIF(Ventes!$A$5:$A$104,$A311)</f>
        <v/>
      </c>
      <c r="D311" s="11">
        <f>SUMPRODUCT((Ventes!$A$5:$A$104=$A311)*Ventes!$F$5:$F$104)</f>
        <v/>
      </c>
      <c r="E311" s="11">
        <f>SUMPRODUCT((Ventes!$A$5:$A$104=$A311)*Ventes!$G$5:$G$104)</f>
        <v/>
      </c>
      <c r="F311" s="18">
        <f>COUNTIF(Achats!$A$5:$A$104,$A311)</f>
        <v/>
      </c>
      <c r="G311" s="18">
        <f>SUMIF(Achats!$A$5:$A$104,$A311,Achats!$D$5:$D$104)</f>
        <v/>
      </c>
    </row>
    <row r="312">
      <c r="A312" s="10" t="n">
        <v>46330</v>
      </c>
      <c r="B312" s="9" t="inlineStr">
        <is>
          <t>Mercredi</t>
        </is>
      </c>
      <c r="C312" s="18">
        <f>COUNTIF(Ventes!$A$5:$A$104,$A312)</f>
        <v/>
      </c>
      <c r="D312" s="11">
        <f>SUMPRODUCT((Ventes!$A$5:$A$104=$A312)*Ventes!$F$5:$F$104)</f>
        <v/>
      </c>
      <c r="E312" s="11">
        <f>SUMPRODUCT((Ventes!$A$5:$A$104=$A312)*Ventes!$G$5:$G$104)</f>
        <v/>
      </c>
      <c r="F312" s="18">
        <f>COUNTIF(Achats!$A$5:$A$104,$A312)</f>
        <v/>
      </c>
      <c r="G312" s="18">
        <f>SUMIF(Achats!$A$5:$A$104,$A312,Achats!$D$5:$D$104)</f>
        <v/>
      </c>
    </row>
    <row r="313">
      <c r="A313" s="10" t="n">
        <v>46331</v>
      </c>
      <c r="B313" s="9" t="inlineStr">
        <is>
          <t>Jeudi</t>
        </is>
      </c>
      <c r="C313" s="18">
        <f>COUNTIF(Ventes!$A$5:$A$104,$A313)</f>
        <v/>
      </c>
      <c r="D313" s="11">
        <f>SUMPRODUCT((Ventes!$A$5:$A$104=$A313)*Ventes!$F$5:$F$104)</f>
        <v/>
      </c>
      <c r="E313" s="11">
        <f>SUMPRODUCT((Ventes!$A$5:$A$104=$A313)*Ventes!$G$5:$G$104)</f>
        <v/>
      </c>
      <c r="F313" s="18">
        <f>COUNTIF(Achats!$A$5:$A$104,$A313)</f>
        <v/>
      </c>
      <c r="G313" s="18">
        <f>SUMIF(Achats!$A$5:$A$104,$A313,Achats!$D$5:$D$104)</f>
        <v/>
      </c>
    </row>
    <row r="314">
      <c r="A314" s="10" t="n">
        <v>46332</v>
      </c>
      <c r="B314" s="9" t="inlineStr">
        <is>
          <t>Vendredi</t>
        </is>
      </c>
      <c r="C314" s="18">
        <f>COUNTIF(Ventes!$A$5:$A$104,$A314)</f>
        <v/>
      </c>
      <c r="D314" s="11">
        <f>SUMPRODUCT((Ventes!$A$5:$A$104=$A314)*Ventes!$F$5:$F$104)</f>
        <v/>
      </c>
      <c r="E314" s="11">
        <f>SUMPRODUCT((Ventes!$A$5:$A$104=$A314)*Ventes!$G$5:$G$104)</f>
        <v/>
      </c>
      <c r="F314" s="18">
        <f>COUNTIF(Achats!$A$5:$A$104,$A314)</f>
        <v/>
      </c>
      <c r="G314" s="18">
        <f>SUMIF(Achats!$A$5:$A$104,$A314,Achats!$D$5:$D$104)</f>
        <v/>
      </c>
    </row>
    <row r="315">
      <c r="A315" s="23" t="n">
        <v>46333</v>
      </c>
      <c r="B315" s="24" t="inlineStr">
        <is>
          <t>Samedi</t>
        </is>
      </c>
      <c r="C315" s="25">
        <f>COUNTIF(Ventes!$A$5:$A$104,$A315)</f>
        <v/>
      </c>
      <c r="D315" s="26">
        <f>SUMPRODUCT((Ventes!$A$5:$A$104=$A315)*Ventes!$F$5:$F$104)</f>
        <v/>
      </c>
      <c r="E315" s="26">
        <f>SUMPRODUCT((Ventes!$A$5:$A$104=$A315)*Ventes!$G$5:$G$104)</f>
        <v/>
      </c>
      <c r="F315" s="25">
        <f>COUNTIF(Achats!$A$5:$A$104,$A315)</f>
        <v/>
      </c>
      <c r="G315" s="25">
        <f>SUMIF(Achats!$A$5:$A$104,$A315,Achats!$D$5:$D$104)</f>
        <v/>
      </c>
    </row>
    <row r="316">
      <c r="A316" s="23" t="n">
        <v>46334</v>
      </c>
      <c r="B316" s="24" t="inlineStr">
        <is>
          <t>Dimanche</t>
        </is>
      </c>
      <c r="C316" s="25">
        <f>COUNTIF(Ventes!$A$5:$A$104,$A316)</f>
        <v/>
      </c>
      <c r="D316" s="26">
        <f>SUMPRODUCT((Ventes!$A$5:$A$104=$A316)*Ventes!$F$5:$F$104)</f>
        <v/>
      </c>
      <c r="E316" s="26">
        <f>SUMPRODUCT((Ventes!$A$5:$A$104=$A316)*Ventes!$G$5:$G$104)</f>
        <v/>
      </c>
      <c r="F316" s="25">
        <f>COUNTIF(Achats!$A$5:$A$104,$A316)</f>
        <v/>
      </c>
      <c r="G316" s="25">
        <f>SUMIF(Achats!$A$5:$A$104,$A316,Achats!$D$5:$D$104)</f>
        <v/>
      </c>
    </row>
    <row r="317">
      <c r="A317" s="10" t="n">
        <v>46335</v>
      </c>
      <c r="B317" s="9" t="inlineStr">
        <is>
          <t>Lundi</t>
        </is>
      </c>
      <c r="C317" s="18">
        <f>COUNTIF(Ventes!$A$5:$A$104,$A317)</f>
        <v/>
      </c>
      <c r="D317" s="11">
        <f>SUMPRODUCT((Ventes!$A$5:$A$104=$A317)*Ventes!$F$5:$F$104)</f>
        <v/>
      </c>
      <c r="E317" s="11">
        <f>SUMPRODUCT((Ventes!$A$5:$A$104=$A317)*Ventes!$G$5:$G$104)</f>
        <v/>
      </c>
      <c r="F317" s="18">
        <f>COUNTIF(Achats!$A$5:$A$104,$A317)</f>
        <v/>
      </c>
      <c r="G317" s="18">
        <f>SUMIF(Achats!$A$5:$A$104,$A317,Achats!$D$5:$D$104)</f>
        <v/>
      </c>
    </row>
    <row r="318">
      <c r="A318" s="10" t="n">
        <v>46336</v>
      </c>
      <c r="B318" s="9" t="inlineStr">
        <is>
          <t>Mardi</t>
        </is>
      </c>
      <c r="C318" s="18">
        <f>COUNTIF(Ventes!$A$5:$A$104,$A318)</f>
        <v/>
      </c>
      <c r="D318" s="11">
        <f>SUMPRODUCT((Ventes!$A$5:$A$104=$A318)*Ventes!$F$5:$F$104)</f>
        <v/>
      </c>
      <c r="E318" s="11">
        <f>SUMPRODUCT((Ventes!$A$5:$A$104=$A318)*Ventes!$G$5:$G$104)</f>
        <v/>
      </c>
      <c r="F318" s="18">
        <f>COUNTIF(Achats!$A$5:$A$104,$A318)</f>
        <v/>
      </c>
      <c r="G318" s="18">
        <f>SUMIF(Achats!$A$5:$A$104,$A318,Achats!$D$5:$D$104)</f>
        <v/>
      </c>
    </row>
    <row r="319">
      <c r="A319" s="10" t="n">
        <v>46337</v>
      </c>
      <c r="B319" s="9" t="inlineStr">
        <is>
          <t>Mercredi</t>
        </is>
      </c>
      <c r="C319" s="18">
        <f>COUNTIF(Ventes!$A$5:$A$104,$A319)</f>
        <v/>
      </c>
      <c r="D319" s="11">
        <f>SUMPRODUCT((Ventes!$A$5:$A$104=$A319)*Ventes!$F$5:$F$104)</f>
        <v/>
      </c>
      <c r="E319" s="11">
        <f>SUMPRODUCT((Ventes!$A$5:$A$104=$A319)*Ventes!$G$5:$G$104)</f>
        <v/>
      </c>
      <c r="F319" s="18">
        <f>COUNTIF(Achats!$A$5:$A$104,$A319)</f>
        <v/>
      </c>
      <c r="G319" s="18">
        <f>SUMIF(Achats!$A$5:$A$104,$A319,Achats!$D$5:$D$104)</f>
        <v/>
      </c>
    </row>
    <row r="320">
      <c r="A320" s="10" t="n">
        <v>46338</v>
      </c>
      <c r="B320" s="9" t="inlineStr">
        <is>
          <t>Jeudi</t>
        </is>
      </c>
      <c r="C320" s="18">
        <f>COUNTIF(Ventes!$A$5:$A$104,$A320)</f>
        <v/>
      </c>
      <c r="D320" s="11">
        <f>SUMPRODUCT((Ventes!$A$5:$A$104=$A320)*Ventes!$F$5:$F$104)</f>
        <v/>
      </c>
      <c r="E320" s="11">
        <f>SUMPRODUCT((Ventes!$A$5:$A$104=$A320)*Ventes!$G$5:$G$104)</f>
        <v/>
      </c>
      <c r="F320" s="18">
        <f>COUNTIF(Achats!$A$5:$A$104,$A320)</f>
        <v/>
      </c>
      <c r="G320" s="18">
        <f>SUMIF(Achats!$A$5:$A$104,$A320,Achats!$D$5:$D$104)</f>
        <v/>
      </c>
    </row>
    <row r="321">
      <c r="A321" s="10" t="n">
        <v>46339</v>
      </c>
      <c r="B321" s="9" t="inlineStr">
        <is>
          <t>Vendredi</t>
        </is>
      </c>
      <c r="C321" s="18">
        <f>COUNTIF(Ventes!$A$5:$A$104,$A321)</f>
        <v/>
      </c>
      <c r="D321" s="11">
        <f>SUMPRODUCT((Ventes!$A$5:$A$104=$A321)*Ventes!$F$5:$F$104)</f>
        <v/>
      </c>
      <c r="E321" s="11">
        <f>SUMPRODUCT((Ventes!$A$5:$A$104=$A321)*Ventes!$G$5:$G$104)</f>
        <v/>
      </c>
      <c r="F321" s="18">
        <f>COUNTIF(Achats!$A$5:$A$104,$A321)</f>
        <v/>
      </c>
      <c r="G321" s="18">
        <f>SUMIF(Achats!$A$5:$A$104,$A321,Achats!$D$5:$D$104)</f>
        <v/>
      </c>
    </row>
    <row r="322">
      <c r="A322" s="23" t="n">
        <v>46340</v>
      </c>
      <c r="B322" s="24" t="inlineStr">
        <is>
          <t>Samedi</t>
        </is>
      </c>
      <c r="C322" s="25">
        <f>COUNTIF(Ventes!$A$5:$A$104,$A322)</f>
        <v/>
      </c>
      <c r="D322" s="26">
        <f>SUMPRODUCT((Ventes!$A$5:$A$104=$A322)*Ventes!$F$5:$F$104)</f>
        <v/>
      </c>
      <c r="E322" s="26">
        <f>SUMPRODUCT((Ventes!$A$5:$A$104=$A322)*Ventes!$G$5:$G$104)</f>
        <v/>
      </c>
      <c r="F322" s="25">
        <f>COUNTIF(Achats!$A$5:$A$104,$A322)</f>
        <v/>
      </c>
      <c r="G322" s="25">
        <f>SUMIF(Achats!$A$5:$A$104,$A322,Achats!$D$5:$D$104)</f>
        <v/>
      </c>
    </row>
    <row r="323">
      <c r="A323" s="23" t="n">
        <v>46341</v>
      </c>
      <c r="B323" s="24" t="inlineStr">
        <is>
          <t>Dimanche</t>
        </is>
      </c>
      <c r="C323" s="25">
        <f>COUNTIF(Ventes!$A$5:$A$104,$A323)</f>
        <v/>
      </c>
      <c r="D323" s="26">
        <f>SUMPRODUCT((Ventes!$A$5:$A$104=$A323)*Ventes!$F$5:$F$104)</f>
        <v/>
      </c>
      <c r="E323" s="26">
        <f>SUMPRODUCT((Ventes!$A$5:$A$104=$A323)*Ventes!$G$5:$G$104)</f>
        <v/>
      </c>
      <c r="F323" s="25">
        <f>COUNTIF(Achats!$A$5:$A$104,$A323)</f>
        <v/>
      </c>
      <c r="G323" s="25">
        <f>SUMIF(Achats!$A$5:$A$104,$A323,Achats!$D$5:$D$104)</f>
        <v/>
      </c>
    </row>
    <row r="324">
      <c r="A324" s="10" t="n">
        <v>46342</v>
      </c>
      <c r="B324" s="9" t="inlineStr">
        <is>
          <t>Lundi</t>
        </is>
      </c>
      <c r="C324" s="18">
        <f>COUNTIF(Ventes!$A$5:$A$104,$A324)</f>
        <v/>
      </c>
      <c r="D324" s="11">
        <f>SUMPRODUCT((Ventes!$A$5:$A$104=$A324)*Ventes!$F$5:$F$104)</f>
        <v/>
      </c>
      <c r="E324" s="11">
        <f>SUMPRODUCT((Ventes!$A$5:$A$104=$A324)*Ventes!$G$5:$G$104)</f>
        <v/>
      </c>
      <c r="F324" s="18">
        <f>COUNTIF(Achats!$A$5:$A$104,$A324)</f>
        <v/>
      </c>
      <c r="G324" s="18">
        <f>SUMIF(Achats!$A$5:$A$104,$A324,Achats!$D$5:$D$104)</f>
        <v/>
      </c>
    </row>
    <row r="325">
      <c r="A325" s="10" t="n">
        <v>46343</v>
      </c>
      <c r="B325" s="9" t="inlineStr">
        <is>
          <t>Mardi</t>
        </is>
      </c>
      <c r="C325" s="18">
        <f>COUNTIF(Ventes!$A$5:$A$104,$A325)</f>
        <v/>
      </c>
      <c r="D325" s="11">
        <f>SUMPRODUCT((Ventes!$A$5:$A$104=$A325)*Ventes!$F$5:$F$104)</f>
        <v/>
      </c>
      <c r="E325" s="11">
        <f>SUMPRODUCT((Ventes!$A$5:$A$104=$A325)*Ventes!$G$5:$G$104)</f>
        <v/>
      </c>
      <c r="F325" s="18">
        <f>COUNTIF(Achats!$A$5:$A$104,$A325)</f>
        <v/>
      </c>
      <c r="G325" s="18">
        <f>SUMIF(Achats!$A$5:$A$104,$A325,Achats!$D$5:$D$104)</f>
        <v/>
      </c>
    </row>
    <row r="326">
      <c r="A326" s="10" t="n">
        <v>46344</v>
      </c>
      <c r="B326" s="9" t="inlineStr">
        <is>
          <t>Mercredi</t>
        </is>
      </c>
      <c r="C326" s="18">
        <f>COUNTIF(Ventes!$A$5:$A$104,$A326)</f>
        <v/>
      </c>
      <c r="D326" s="11">
        <f>SUMPRODUCT((Ventes!$A$5:$A$104=$A326)*Ventes!$F$5:$F$104)</f>
        <v/>
      </c>
      <c r="E326" s="11">
        <f>SUMPRODUCT((Ventes!$A$5:$A$104=$A326)*Ventes!$G$5:$G$104)</f>
        <v/>
      </c>
      <c r="F326" s="18">
        <f>COUNTIF(Achats!$A$5:$A$104,$A326)</f>
        <v/>
      </c>
      <c r="G326" s="18">
        <f>SUMIF(Achats!$A$5:$A$104,$A326,Achats!$D$5:$D$104)</f>
        <v/>
      </c>
    </row>
    <row r="327">
      <c r="A327" s="10" t="n">
        <v>46345</v>
      </c>
      <c r="B327" s="9" t="inlineStr">
        <is>
          <t>Jeudi</t>
        </is>
      </c>
      <c r="C327" s="18">
        <f>COUNTIF(Ventes!$A$5:$A$104,$A327)</f>
        <v/>
      </c>
      <c r="D327" s="11">
        <f>SUMPRODUCT((Ventes!$A$5:$A$104=$A327)*Ventes!$F$5:$F$104)</f>
        <v/>
      </c>
      <c r="E327" s="11">
        <f>SUMPRODUCT((Ventes!$A$5:$A$104=$A327)*Ventes!$G$5:$G$104)</f>
        <v/>
      </c>
      <c r="F327" s="18">
        <f>COUNTIF(Achats!$A$5:$A$104,$A327)</f>
        <v/>
      </c>
      <c r="G327" s="18">
        <f>SUMIF(Achats!$A$5:$A$104,$A327,Achats!$D$5:$D$104)</f>
        <v/>
      </c>
    </row>
    <row r="328">
      <c r="A328" s="10" t="n">
        <v>46346</v>
      </c>
      <c r="B328" s="9" t="inlineStr">
        <is>
          <t>Vendredi</t>
        </is>
      </c>
      <c r="C328" s="18">
        <f>COUNTIF(Ventes!$A$5:$A$104,$A328)</f>
        <v/>
      </c>
      <c r="D328" s="11">
        <f>SUMPRODUCT((Ventes!$A$5:$A$104=$A328)*Ventes!$F$5:$F$104)</f>
        <v/>
      </c>
      <c r="E328" s="11">
        <f>SUMPRODUCT((Ventes!$A$5:$A$104=$A328)*Ventes!$G$5:$G$104)</f>
        <v/>
      </c>
      <c r="F328" s="18">
        <f>COUNTIF(Achats!$A$5:$A$104,$A328)</f>
        <v/>
      </c>
      <c r="G328" s="18">
        <f>SUMIF(Achats!$A$5:$A$104,$A328,Achats!$D$5:$D$104)</f>
        <v/>
      </c>
    </row>
    <row r="329">
      <c r="A329" s="23" t="n">
        <v>46347</v>
      </c>
      <c r="B329" s="24" t="inlineStr">
        <is>
          <t>Samedi</t>
        </is>
      </c>
      <c r="C329" s="25">
        <f>COUNTIF(Ventes!$A$5:$A$104,$A329)</f>
        <v/>
      </c>
      <c r="D329" s="26">
        <f>SUMPRODUCT((Ventes!$A$5:$A$104=$A329)*Ventes!$F$5:$F$104)</f>
        <v/>
      </c>
      <c r="E329" s="26">
        <f>SUMPRODUCT((Ventes!$A$5:$A$104=$A329)*Ventes!$G$5:$G$104)</f>
        <v/>
      </c>
      <c r="F329" s="25">
        <f>COUNTIF(Achats!$A$5:$A$104,$A329)</f>
        <v/>
      </c>
      <c r="G329" s="25">
        <f>SUMIF(Achats!$A$5:$A$104,$A329,Achats!$D$5:$D$104)</f>
        <v/>
      </c>
    </row>
    <row r="330">
      <c r="A330" s="23" t="n">
        <v>46348</v>
      </c>
      <c r="B330" s="24" t="inlineStr">
        <is>
          <t>Dimanche</t>
        </is>
      </c>
      <c r="C330" s="25">
        <f>COUNTIF(Ventes!$A$5:$A$104,$A330)</f>
        <v/>
      </c>
      <c r="D330" s="26">
        <f>SUMPRODUCT((Ventes!$A$5:$A$104=$A330)*Ventes!$F$5:$F$104)</f>
        <v/>
      </c>
      <c r="E330" s="26">
        <f>SUMPRODUCT((Ventes!$A$5:$A$104=$A330)*Ventes!$G$5:$G$104)</f>
        <v/>
      </c>
      <c r="F330" s="25">
        <f>COUNTIF(Achats!$A$5:$A$104,$A330)</f>
        <v/>
      </c>
      <c r="G330" s="25">
        <f>SUMIF(Achats!$A$5:$A$104,$A330,Achats!$D$5:$D$104)</f>
        <v/>
      </c>
    </row>
    <row r="331">
      <c r="A331" s="10" t="n">
        <v>46349</v>
      </c>
      <c r="B331" s="9" t="inlineStr">
        <is>
          <t>Lundi</t>
        </is>
      </c>
      <c r="C331" s="18">
        <f>COUNTIF(Ventes!$A$5:$A$104,$A331)</f>
        <v/>
      </c>
      <c r="D331" s="11">
        <f>SUMPRODUCT((Ventes!$A$5:$A$104=$A331)*Ventes!$F$5:$F$104)</f>
        <v/>
      </c>
      <c r="E331" s="11">
        <f>SUMPRODUCT((Ventes!$A$5:$A$104=$A331)*Ventes!$G$5:$G$104)</f>
        <v/>
      </c>
      <c r="F331" s="18">
        <f>COUNTIF(Achats!$A$5:$A$104,$A331)</f>
        <v/>
      </c>
      <c r="G331" s="18">
        <f>SUMIF(Achats!$A$5:$A$104,$A331,Achats!$D$5:$D$104)</f>
        <v/>
      </c>
    </row>
    <row r="332">
      <c r="A332" s="10" t="n">
        <v>46350</v>
      </c>
      <c r="B332" s="9" t="inlineStr">
        <is>
          <t>Mardi</t>
        </is>
      </c>
      <c r="C332" s="18">
        <f>COUNTIF(Ventes!$A$5:$A$104,$A332)</f>
        <v/>
      </c>
      <c r="D332" s="11">
        <f>SUMPRODUCT((Ventes!$A$5:$A$104=$A332)*Ventes!$F$5:$F$104)</f>
        <v/>
      </c>
      <c r="E332" s="11">
        <f>SUMPRODUCT((Ventes!$A$5:$A$104=$A332)*Ventes!$G$5:$G$104)</f>
        <v/>
      </c>
      <c r="F332" s="18">
        <f>COUNTIF(Achats!$A$5:$A$104,$A332)</f>
        <v/>
      </c>
      <c r="G332" s="18">
        <f>SUMIF(Achats!$A$5:$A$104,$A332,Achats!$D$5:$D$104)</f>
        <v/>
      </c>
    </row>
    <row r="333">
      <c r="A333" s="10" t="n">
        <v>46351</v>
      </c>
      <c r="B333" s="9" t="inlineStr">
        <is>
          <t>Mercredi</t>
        </is>
      </c>
      <c r="C333" s="18">
        <f>COUNTIF(Ventes!$A$5:$A$104,$A333)</f>
        <v/>
      </c>
      <c r="D333" s="11">
        <f>SUMPRODUCT((Ventes!$A$5:$A$104=$A333)*Ventes!$F$5:$F$104)</f>
        <v/>
      </c>
      <c r="E333" s="11">
        <f>SUMPRODUCT((Ventes!$A$5:$A$104=$A333)*Ventes!$G$5:$G$104)</f>
        <v/>
      </c>
      <c r="F333" s="18">
        <f>COUNTIF(Achats!$A$5:$A$104,$A333)</f>
        <v/>
      </c>
      <c r="G333" s="18">
        <f>SUMIF(Achats!$A$5:$A$104,$A333,Achats!$D$5:$D$104)</f>
        <v/>
      </c>
    </row>
    <row r="334">
      <c r="A334" s="10" t="n">
        <v>46352</v>
      </c>
      <c r="B334" s="9" t="inlineStr">
        <is>
          <t>Jeudi</t>
        </is>
      </c>
      <c r="C334" s="18">
        <f>COUNTIF(Ventes!$A$5:$A$104,$A334)</f>
        <v/>
      </c>
      <c r="D334" s="11">
        <f>SUMPRODUCT((Ventes!$A$5:$A$104=$A334)*Ventes!$F$5:$F$104)</f>
        <v/>
      </c>
      <c r="E334" s="11">
        <f>SUMPRODUCT((Ventes!$A$5:$A$104=$A334)*Ventes!$G$5:$G$104)</f>
        <v/>
      </c>
      <c r="F334" s="18">
        <f>COUNTIF(Achats!$A$5:$A$104,$A334)</f>
        <v/>
      </c>
      <c r="G334" s="18">
        <f>SUMIF(Achats!$A$5:$A$104,$A334,Achats!$D$5:$D$104)</f>
        <v/>
      </c>
    </row>
    <row r="335">
      <c r="A335" s="10" t="n">
        <v>46353</v>
      </c>
      <c r="B335" s="9" t="inlineStr">
        <is>
          <t>Vendredi</t>
        </is>
      </c>
      <c r="C335" s="18">
        <f>COUNTIF(Ventes!$A$5:$A$104,$A335)</f>
        <v/>
      </c>
      <c r="D335" s="11">
        <f>SUMPRODUCT((Ventes!$A$5:$A$104=$A335)*Ventes!$F$5:$F$104)</f>
        <v/>
      </c>
      <c r="E335" s="11">
        <f>SUMPRODUCT((Ventes!$A$5:$A$104=$A335)*Ventes!$G$5:$G$104)</f>
        <v/>
      </c>
      <c r="F335" s="18">
        <f>COUNTIF(Achats!$A$5:$A$104,$A335)</f>
        <v/>
      </c>
      <c r="G335" s="18">
        <f>SUMIF(Achats!$A$5:$A$104,$A335,Achats!$D$5:$D$104)</f>
        <v/>
      </c>
    </row>
    <row r="336">
      <c r="A336" s="23" t="n">
        <v>46354</v>
      </c>
      <c r="B336" s="24" t="inlineStr">
        <is>
          <t>Samedi</t>
        </is>
      </c>
      <c r="C336" s="25">
        <f>COUNTIF(Ventes!$A$5:$A$104,$A336)</f>
        <v/>
      </c>
      <c r="D336" s="26">
        <f>SUMPRODUCT((Ventes!$A$5:$A$104=$A336)*Ventes!$F$5:$F$104)</f>
        <v/>
      </c>
      <c r="E336" s="26">
        <f>SUMPRODUCT((Ventes!$A$5:$A$104=$A336)*Ventes!$G$5:$G$104)</f>
        <v/>
      </c>
      <c r="F336" s="25">
        <f>COUNTIF(Achats!$A$5:$A$104,$A336)</f>
        <v/>
      </c>
      <c r="G336" s="25">
        <f>SUMIF(Achats!$A$5:$A$104,$A336,Achats!$D$5:$D$104)</f>
        <v/>
      </c>
    </row>
    <row r="337">
      <c r="A337" s="23" t="n">
        <v>46355</v>
      </c>
      <c r="B337" s="24" t="inlineStr">
        <is>
          <t>Dimanche</t>
        </is>
      </c>
      <c r="C337" s="25">
        <f>COUNTIF(Ventes!$A$5:$A$104,$A337)</f>
        <v/>
      </c>
      <c r="D337" s="26">
        <f>SUMPRODUCT((Ventes!$A$5:$A$104=$A337)*Ventes!$F$5:$F$104)</f>
        <v/>
      </c>
      <c r="E337" s="26">
        <f>SUMPRODUCT((Ventes!$A$5:$A$104=$A337)*Ventes!$G$5:$G$104)</f>
        <v/>
      </c>
      <c r="F337" s="25">
        <f>COUNTIF(Achats!$A$5:$A$104,$A337)</f>
        <v/>
      </c>
      <c r="G337" s="25">
        <f>SUMIF(Achats!$A$5:$A$104,$A337,Achats!$D$5:$D$104)</f>
        <v/>
      </c>
    </row>
    <row r="338">
      <c r="A338" s="10" t="n">
        <v>46356</v>
      </c>
      <c r="B338" s="9" t="inlineStr">
        <is>
          <t>Lundi</t>
        </is>
      </c>
      <c r="C338" s="18">
        <f>COUNTIF(Ventes!$A$5:$A$104,$A338)</f>
        <v/>
      </c>
      <c r="D338" s="11">
        <f>SUMPRODUCT((Ventes!$A$5:$A$104=$A338)*Ventes!$F$5:$F$104)</f>
        <v/>
      </c>
      <c r="E338" s="11">
        <f>SUMPRODUCT((Ventes!$A$5:$A$104=$A338)*Ventes!$G$5:$G$104)</f>
        <v/>
      </c>
      <c r="F338" s="18">
        <f>COUNTIF(Achats!$A$5:$A$104,$A338)</f>
        <v/>
      </c>
      <c r="G338" s="18">
        <f>SUMIF(Achats!$A$5:$A$104,$A338,Achats!$D$5:$D$104)</f>
        <v/>
      </c>
    </row>
    <row r="339">
      <c r="A339" s="10" t="n">
        <v>46357</v>
      </c>
      <c r="B339" s="9" t="inlineStr">
        <is>
          <t>Mardi</t>
        </is>
      </c>
      <c r="C339" s="18">
        <f>COUNTIF(Ventes!$A$5:$A$104,$A339)</f>
        <v/>
      </c>
      <c r="D339" s="11">
        <f>SUMPRODUCT((Ventes!$A$5:$A$104=$A339)*Ventes!$F$5:$F$104)</f>
        <v/>
      </c>
      <c r="E339" s="11">
        <f>SUMPRODUCT((Ventes!$A$5:$A$104=$A339)*Ventes!$G$5:$G$104)</f>
        <v/>
      </c>
      <c r="F339" s="18">
        <f>COUNTIF(Achats!$A$5:$A$104,$A339)</f>
        <v/>
      </c>
      <c r="G339" s="18">
        <f>SUMIF(Achats!$A$5:$A$104,$A339,Achats!$D$5:$D$104)</f>
        <v/>
      </c>
    </row>
    <row r="340">
      <c r="A340" s="10" t="n">
        <v>46358</v>
      </c>
      <c r="B340" s="9" t="inlineStr">
        <is>
          <t>Mercredi</t>
        </is>
      </c>
      <c r="C340" s="18">
        <f>COUNTIF(Ventes!$A$5:$A$104,$A340)</f>
        <v/>
      </c>
      <c r="D340" s="11">
        <f>SUMPRODUCT((Ventes!$A$5:$A$104=$A340)*Ventes!$F$5:$F$104)</f>
        <v/>
      </c>
      <c r="E340" s="11">
        <f>SUMPRODUCT((Ventes!$A$5:$A$104=$A340)*Ventes!$G$5:$G$104)</f>
        <v/>
      </c>
      <c r="F340" s="18">
        <f>COUNTIF(Achats!$A$5:$A$104,$A340)</f>
        <v/>
      </c>
      <c r="G340" s="18">
        <f>SUMIF(Achats!$A$5:$A$104,$A340,Achats!$D$5:$D$104)</f>
        <v/>
      </c>
    </row>
    <row r="341">
      <c r="A341" s="10" t="n">
        <v>46359</v>
      </c>
      <c r="B341" s="9" t="inlineStr">
        <is>
          <t>Jeudi</t>
        </is>
      </c>
      <c r="C341" s="18">
        <f>COUNTIF(Ventes!$A$5:$A$104,$A341)</f>
        <v/>
      </c>
      <c r="D341" s="11">
        <f>SUMPRODUCT((Ventes!$A$5:$A$104=$A341)*Ventes!$F$5:$F$104)</f>
        <v/>
      </c>
      <c r="E341" s="11">
        <f>SUMPRODUCT((Ventes!$A$5:$A$104=$A341)*Ventes!$G$5:$G$104)</f>
        <v/>
      </c>
      <c r="F341" s="18">
        <f>COUNTIF(Achats!$A$5:$A$104,$A341)</f>
        <v/>
      </c>
      <c r="G341" s="18">
        <f>SUMIF(Achats!$A$5:$A$104,$A341,Achats!$D$5:$D$104)</f>
        <v/>
      </c>
    </row>
    <row r="342">
      <c r="A342" s="10" t="n">
        <v>46360</v>
      </c>
      <c r="B342" s="9" t="inlineStr">
        <is>
          <t>Vendredi</t>
        </is>
      </c>
      <c r="C342" s="18">
        <f>COUNTIF(Ventes!$A$5:$A$104,$A342)</f>
        <v/>
      </c>
      <c r="D342" s="11">
        <f>SUMPRODUCT((Ventes!$A$5:$A$104=$A342)*Ventes!$F$5:$F$104)</f>
        <v/>
      </c>
      <c r="E342" s="11">
        <f>SUMPRODUCT((Ventes!$A$5:$A$104=$A342)*Ventes!$G$5:$G$104)</f>
        <v/>
      </c>
      <c r="F342" s="18">
        <f>COUNTIF(Achats!$A$5:$A$104,$A342)</f>
        <v/>
      </c>
      <c r="G342" s="18">
        <f>SUMIF(Achats!$A$5:$A$104,$A342,Achats!$D$5:$D$104)</f>
        <v/>
      </c>
    </row>
    <row r="343">
      <c r="A343" s="23" t="n">
        <v>46361</v>
      </c>
      <c r="B343" s="24" t="inlineStr">
        <is>
          <t>Samedi</t>
        </is>
      </c>
      <c r="C343" s="25">
        <f>COUNTIF(Ventes!$A$5:$A$104,$A343)</f>
        <v/>
      </c>
      <c r="D343" s="26">
        <f>SUMPRODUCT((Ventes!$A$5:$A$104=$A343)*Ventes!$F$5:$F$104)</f>
        <v/>
      </c>
      <c r="E343" s="26">
        <f>SUMPRODUCT((Ventes!$A$5:$A$104=$A343)*Ventes!$G$5:$G$104)</f>
        <v/>
      </c>
      <c r="F343" s="25">
        <f>COUNTIF(Achats!$A$5:$A$104,$A343)</f>
        <v/>
      </c>
      <c r="G343" s="25">
        <f>SUMIF(Achats!$A$5:$A$104,$A343,Achats!$D$5:$D$104)</f>
        <v/>
      </c>
    </row>
    <row r="344">
      <c r="A344" s="23" t="n">
        <v>46362</v>
      </c>
      <c r="B344" s="24" t="inlineStr">
        <is>
          <t>Dimanche</t>
        </is>
      </c>
      <c r="C344" s="25">
        <f>COUNTIF(Ventes!$A$5:$A$104,$A344)</f>
        <v/>
      </c>
      <c r="D344" s="26">
        <f>SUMPRODUCT((Ventes!$A$5:$A$104=$A344)*Ventes!$F$5:$F$104)</f>
        <v/>
      </c>
      <c r="E344" s="26">
        <f>SUMPRODUCT((Ventes!$A$5:$A$104=$A344)*Ventes!$G$5:$G$104)</f>
        <v/>
      </c>
      <c r="F344" s="25">
        <f>COUNTIF(Achats!$A$5:$A$104,$A344)</f>
        <v/>
      </c>
      <c r="G344" s="25">
        <f>SUMIF(Achats!$A$5:$A$104,$A344,Achats!$D$5:$D$104)</f>
        <v/>
      </c>
    </row>
    <row r="345">
      <c r="A345" s="10" t="n">
        <v>46363</v>
      </c>
      <c r="B345" s="9" t="inlineStr">
        <is>
          <t>Lundi</t>
        </is>
      </c>
      <c r="C345" s="18">
        <f>COUNTIF(Ventes!$A$5:$A$104,$A345)</f>
        <v/>
      </c>
      <c r="D345" s="11">
        <f>SUMPRODUCT((Ventes!$A$5:$A$104=$A345)*Ventes!$F$5:$F$104)</f>
        <v/>
      </c>
      <c r="E345" s="11">
        <f>SUMPRODUCT((Ventes!$A$5:$A$104=$A345)*Ventes!$G$5:$G$104)</f>
        <v/>
      </c>
      <c r="F345" s="18">
        <f>COUNTIF(Achats!$A$5:$A$104,$A345)</f>
        <v/>
      </c>
      <c r="G345" s="18">
        <f>SUMIF(Achats!$A$5:$A$104,$A345,Achats!$D$5:$D$104)</f>
        <v/>
      </c>
    </row>
    <row r="346">
      <c r="A346" s="10" t="n">
        <v>46364</v>
      </c>
      <c r="B346" s="9" t="inlineStr">
        <is>
          <t>Mardi</t>
        </is>
      </c>
      <c r="C346" s="18">
        <f>COUNTIF(Ventes!$A$5:$A$104,$A346)</f>
        <v/>
      </c>
      <c r="D346" s="11">
        <f>SUMPRODUCT((Ventes!$A$5:$A$104=$A346)*Ventes!$F$5:$F$104)</f>
        <v/>
      </c>
      <c r="E346" s="11">
        <f>SUMPRODUCT((Ventes!$A$5:$A$104=$A346)*Ventes!$G$5:$G$104)</f>
        <v/>
      </c>
      <c r="F346" s="18">
        <f>COUNTIF(Achats!$A$5:$A$104,$A346)</f>
        <v/>
      </c>
      <c r="G346" s="18">
        <f>SUMIF(Achats!$A$5:$A$104,$A346,Achats!$D$5:$D$104)</f>
        <v/>
      </c>
    </row>
    <row r="347">
      <c r="A347" s="10" t="n">
        <v>46365</v>
      </c>
      <c r="B347" s="9" t="inlineStr">
        <is>
          <t>Mercredi</t>
        </is>
      </c>
      <c r="C347" s="18">
        <f>COUNTIF(Ventes!$A$5:$A$104,$A347)</f>
        <v/>
      </c>
      <c r="D347" s="11">
        <f>SUMPRODUCT((Ventes!$A$5:$A$104=$A347)*Ventes!$F$5:$F$104)</f>
        <v/>
      </c>
      <c r="E347" s="11">
        <f>SUMPRODUCT((Ventes!$A$5:$A$104=$A347)*Ventes!$G$5:$G$104)</f>
        <v/>
      </c>
      <c r="F347" s="18">
        <f>COUNTIF(Achats!$A$5:$A$104,$A347)</f>
        <v/>
      </c>
      <c r="G347" s="18">
        <f>SUMIF(Achats!$A$5:$A$104,$A347,Achats!$D$5:$D$104)</f>
        <v/>
      </c>
    </row>
    <row r="348">
      <c r="A348" s="10" t="n">
        <v>46366</v>
      </c>
      <c r="B348" s="9" t="inlineStr">
        <is>
          <t>Jeudi</t>
        </is>
      </c>
      <c r="C348" s="18">
        <f>COUNTIF(Ventes!$A$5:$A$104,$A348)</f>
        <v/>
      </c>
      <c r="D348" s="11">
        <f>SUMPRODUCT((Ventes!$A$5:$A$104=$A348)*Ventes!$F$5:$F$104)</f>
        <v/>
      </c>
      <c r="E348" s="11">
        <f>SUMPRODUCT((Ventes!$A$5:$A$104=$A348)*Ventes!$G$5:$G$104)</f>
        <v/>
      </c>
      <c r="F348" s="18">
        <f>COUNTIF(Achats!$A$5:$A$104,$A348)</f>
        <v/>
      </c>
      <c r="G348" s="18">
        <f>SUMIF(Achats!$A$5:$A$104,$A348,Achats!$D$5:$D$104)</f>
        <v/>
      </c>
    </row>
    <row r="349">
      <c r="A349" s="10" t="n">
        <v>46367</v>
      </c>
      <c r="B349" s="9" t="inlineStr">
        <is>
          <t>Vendredi</t>
        </is>
      </c>
      <c r="C349" s="18">
        <f>COUNTIF(Ventes!$A$5:$A$104,$A349)</f>
        <v/>
      </c>
      <c r="D349" s="11">
        <f>SUMPRODUCT((Ventes!$A$5:$A$104=$A349)*Ventes!$F$5:$F$104)</f>
        <v/>
      </c>
      <c r="E349" s="11">
        <f>SUMPRODUCT((Ventes!$A$5:$A$104=$A349)*Ventes!$G$5:$G$104)</f>
        <v/>
      </c>
      <c r="F349" s="18">
        <f>COUNTIF(Achats!$A$5:$A$104,$A349)</f>
        <v/>
      </c>
      <c r="G349" s="18">
        <f>SUMIF(Achats!$A$5:$A$104,$A349,Achats!$D$5:$D$104)</f>
        <v/>
      </c>
    </row>
    <row r="350">
      <c r="A350" s="23" t="n">
        <v>46368</v>
      </c>
      <c r="B350" s="24" t="inlineStr">
        <is>
          <t>Samedi</t>
        </is>
      </c>
      <c r="C350" s="25">
        <f>COUNTIF(Ventes!$A$5:$A$104,$A350)</f>
        <v/>
      </c>
      <c r="D350" s="26">
        <f>SUMPRODUCT((Ventes!$A$5:$A$104=$A350)*Ventes!$F$5:$F$104)</f>
        <v/>
      </c>
      <c r="E350" s="26">
        <f>SUMPRODUCT((Ventes!$A$5:$A$104=$A350)*Ventes!$G$5:$G$104)</f>
        <v/>
      </c>
      <c r="F350" s="25">
        <f>COUNTIF(Achats!$A$5:$A$104,$A350)</f>
        <v/>
      </c>
      <c r="G350" s="25">
        <f>SUMIF(Achats!$A$5:$A$104,$A350,Achats!$D$5:$D$104)</f>
        <v/>
      </c>
    </row>
    <row r="351">
      <c r="A351" s="23" t="n">
        <v>46369</v>
      </c>
      <c r="B351" s="24" t="inlineStr">
        <is>
          <t>Dimanche</t>
        </is>
      </c>
      <c r="C351" s="25">
        <f>COUNTIF(Ventes!$A$5:$A$104,$A351)</f>
        <v/>
      </c>
      <c r="D351" s="26">
        <f>SUMPRODUCT((Ventes!$A$5:$A$104=$A351)*Ventes!$F$5:$F$104)</f>
        <v/>
      </c>
      <c r="E351" s="26">
        <f>SUMPRODUCT((Ventes!$A$5:$A$104=$A351)*Ventes!$G$5:$G$104)</f>
        <v/>
      </c>
      <c r="F351" s="25">
        <f>COUNTIF(Achats!$A$5:$A$104,$A351)</f>
        <v/>
      </c>
      <c r="G351" s="25">
        <f>SUMIF(Achats!$A$5:$A$104,$A351,Achats!$D$5:$D$104)</f>
        <v/>
      </c>
    </row>
    <row r="352">
      <c r="A352" s="10" t="n">
        <v>46370</v>
      </c>
      <c r="B352" s="9" t="inlineStr">
        <is>
          <t>Lundi</t>
        </is>
      </c>
      <c r="C352" s="18">
        <f>COUNTIF(Ventes!$A$5:$A$104,$A352)</f>
        <v/>
      </c>
      <c r="D352" s="11">
        <f>SUMPRODUCT((Ventes!$A$5:$A$104=$A352)*Ventes!$F$5:$F$104)</f>
        <v/>
      </c>
      <c r="E352" s="11">
        <f>SUMPRODUCT((Ventes!$A$5:$A$104=$A352)*Ventes!$G$5:$G$104)</f>
        <v/>
      </c>
      <c r="F352" s="18">
        <f>COUNTIF(Achats!$A$5:$A$104,$A352)</f>
        <v/>
      </c>
      <c r="G352" s="18">
        <f>SUMIF(Achats!$A$5:$A$104,$A352,Achats!$D$5:$D$104)</f>
        <v/>
      </c>
    </row>
    <row r="353">
      <c r="A353" s="10" t="n">
        <v>46371</v>
      </c>
      <c r="B353" s="9" t="inlineStr">
        <is>
          <t>Mardi</t>
        </is>
      </c>
      <c r="C353" s="18">
        <f>COUNTIF(Ventes!$A$5:$A$104,$A353)</f>
        <v/>
      </c>
      <c r="D353" s="11">
        <f>SUMPRODUCT((Ventes!$A$5:$A$104=$A353)*Ventes!$F$5:$F$104)</f>
        <v/>
      </c>
      <c r="E353" s="11">
        <f>SUMPRODUCT((Ventes!$A$5:$A$104=$A353)*Ventes!$G$5:$G$104)</f>
        <v/>
      </c>
      <c r="F353" s="18">
        <f>COUNTIF(Achats!$A$5:$A$104,$A353)</f>
        <v/>
      </c>
      <c r="G353" s="18">
        <f>SUMIF(Achats!$A$5:$A$104,$A353,Achats!$D$5:$D$104)</f>
        <v/>
      </c>
    </row>
    <row r="354">
      <c r="A354" s="10" t="n">
        <v>46372</v>
      </c>
      <c r="B354" s="9" t="inlineStr">
        <is>
          <t>Mercredi</t>
        </is>
      </c>
      <c r="C354" s="18">
        <f>COUNTIF(Ventes!$A$5:$A$104,$A354)</f>
        <v/>
      </c>
      <c r="D354" s="11">
        <f>SUMPRODUCT((Ventes!$A$5:$A$104=$A354)*Ventes!$F$5:$F$104)</f>
        <v/>
      </c>
      <c r="E354" s="11">
        <f>SUMPRODUCT((Ventes!$A$5:$A$104=$A354)*Ventes!$G$5:$G$104)</f>
        <v/>
      </c>
      <c r="F354" s="18">
        <f>COUNTIF(Achats!$A$5:$A$104,$A354)</f>
        <v/>
      </c>
      <c r="G354" s="18">
        <f>SUMIF(Achats!$A$5:$A$104,$A354,Achats!$D$5:$D$104)</f>
        <v/>
      </c>
    </row>
    <row r="355">
      <c r="A355" s="10" t="n">
        <v>46373</v>
      </c>
      <c r="B355" s="9" t="inlineStr">
        <is>
          <t>Jeudi</t>
        </is>
      </c>
      <c r="C355" s="18">
        <f>COUNTIF(Ventes!$A$5:$A$104,$A355)</f>
        <v/>
      </c>
      <c r="D355" s="11">
        <f>SUMPRODUCT((Ventes!$A$5:$A$104=$A355)*Ventes!$F$5:$F$104)</f>
        <v/>
      </c>
      <c r="E355" s="11">
        <f>SUMPRODUCT((Ventes!$A$5:$A$104=$A355)*Ventes!$G$5:$G$104)</f>
        <v/>
      </c>
      <c r="F355" s="18">
        <f>COUNTIF(Achats!$A$5:$A$104,$A355)</f>
        <v/>
      </c>
      <c r="G355" s="18">
        <f>SUMIF(Achats!$A$5:$A$104,$A355,Achats!$D$5:$D$104)</f>
        <v/>
      </c>
    </row>
    <row r="356">
      <c r="A356" s="10" t="n">
        <v>46374</v>
      </c>
      <c r="B356" s="9" t="inlineStr">
        <is>
          <t>Vendredi</t>
        </is>
      </c>
      <c r="C356" s="18">
        <f>COUNTIF(Ventes!$A$5:$A$104,$A356)</f>
        <v/>
      </c>
      <c r="D356" s="11">
        <f>SUMPRODUCT((Ventes!$A$5:$A$104=$A356)*Ventes!$F$5:$F$104)</f>
        <v/>
      </c>
      <c r="E356" s="11">
        <f>SUMPRODUCT((Ventes!$A$5:$A$104=$A356)*Ventes!$G$5:$G$104)</f>
        <v/>
      </c>
      <c r="F356" s="18">
        <f>COUNTIF(Achats!$A$5:$A$104,$A356)</f>
        <v/>
      </c>
      <c r="G356" s="18">
        <f>SUMIF(Achats!$A$5:$A$104,$A356,Achats!$D$5:$D$104)</f>
        <v/>
      </c>
    </row>
    <row r="357">
      <c r="A357" s="23" t="n">
        <v>46375</v>
      </c>
      <c r="B357" s="24" t="inlineStr">
        <is>
          <t>Samedi</t>
        </is>
      </c>
      <c r="C357" s="25">
        <f>COUNTIF(Ventes!$A$5:$A$104,$A357)</f>
        <v/>
      </c>
      <c r="D357" s="26">
        <f>SUMPRODUCT((Ventes!$A$5:$A$104=$A357)*Ventes!$F$5:$F$104)</f>
        <v/>
      </c>
      <c r="E357" s="26">
        <f>SUMPRODUCT((Ventes!$A$5:$A$104=$A357)*Ventes!$G$5:$G$104)</f>
        <v/>
      </c>
      <c r="F357" s="25">
        <f>COUNTIF(Achats!$A$5:$A$104,$A357)</f>
        <v/>
      </c>
      <c r="G357" s="25">
        <f>SUMIF(Achats!$A$5:$A$104,$A357,Achats!$D$5:$D$104)</f>
        <v/>
      </c>
    </row>
    <row r="358">
      <c r="A358" s="23" t="n">
        <v>46376</v>
      </c>
      <c r="B358" s="24" t="inlineStr">
        <is>
          <t>Dimanche</t>
        </is>
      </c>
      <c r="C358" s="25">
        <f>COUNTIF(Ventes!$A$5:$A$104,$A358)</f>
        <v/>
      </c>
      <c r="D358" s="26">
        <f>SUMPRODUCT((Ventes!$A$5:$A$104=$A358)*Ventes!$F$5:$F$104)</f>
        <v/>
      </c>
      <c r="E358" s="26">
        <f>SUMPRODUCT((Ventes!$A$5:$A$104=$A358)*Ventes!$G$5:$G$104)</f>
        <v/>
      </c>
      <c r="F358" s="25">
        <f>COUNTIF(Achats!$A$5:$A$104,$A358)</f>
        <v/>
      </c>
      <c r="G358" s="25">
        <f>SUMIF(Achats!$A$5:$A$104,$A358,Achats!$D$5:$D$104)</f>
        <v/>
      </c>
    </row>
    <row r="359">
      <c r="A359" s="10" t="n">
        <v>46377</v>
      </c>
      <c r="B359" s="9" t="inlineStr">
        <is>
          <t>Lundi</t>
        </is>
      </c>
      <c r="C359" s="18">
        <f>COUNTIF(Ventes!$A$5:$A$104,$A359)</f>
        <v/>
      </c>
      <c r="D359" s="11">
        <f>SUMPRODUCT((Ventes!$A$5:$A$104=$A359)*Ventes!$F$5:$F$104)</f>
        <v/>
      </c>
      <c r="E359" s="11">
        <f>SUMPRODUCT((Ventes!$A$5:$A$104=$A359)*Ventes!$G$5:$G$104)</f>
        <v/>
      </c>
      <c r="F359" s="18">
        <f>COUNTIF(Achats!$A$5:$A$104,$A359)</f>
        <v/>
      </c>
      <c r="G359" s="18">
        <f>SUMIF(Achats!$A$5:$A$104,$A359,Achats!$D$5:$D$104)</f>
        <v/>
      </c>
    </row>
    <row r="360">
      <c r="A360" s="10" t="n">
        <v>46378</v>
      </c>
      <c r="B360" s="9" t="inlineStr">
        <is>
          <t>Mardi</t>
        </is>
      </c>
      <c r="C360" s="18">
        <f>COUNTIF(Ventes!$A$5:$A$104,$A360)</f>
        <v/>
      </c>
      <c r="D360" s="11">
        <f>SUMPRODUCT((Ventes!$A$5:$A$104=$A360)*Ventes!$F$5:$F$104)</f>
        <v/>
      </c>
      <c r="E360" s="11">
        <f>SUMPRODUCT((Ventes!$A$5:$A$104=$A360)*Ventes!$G$5:$G$104)</f>
        <v/>
      </c>
      <c r="F360" s="18">
        <f>COUNTIF(Achats!$A$5:$A$104,$A360)</f>
        <v/>
      </c>
      <c r="G360" s="18">
        <f>SUMIF(Achats!$A$5:$A$104,$A360,Achats!$D$5:$D$104)</f>
        <v/>
      </c>
    </row>
    <row r="361">
      <c r="A361" s="10" t="n">
        <v>46379</v>
      </c>
      <c r="B361" s="9" t="inlineStr">
        <is>
          <t>Mercredi</t>
        </is>
      </c>
      <c r="C361" s="18">
        <f>COUNTIF(Ventes!$A$5:$A$104,$A361)</f>
        <v/>
      </c>
      <c r="D361" s="11">
        <f>SUMPRODUCT((Ventes!$A$5:$A$104=$A361)*Ventes!$F$5:$F$104)</f>
        <v/>
      </c>
      <c r="E361" s="11">
        <f>SUMPRODUCT((Ventes!$A$5:$A$104=$A361)*Ventes!$G$5:$G$104)</f>
        <v/>
      </c>
      <c r="F361" s="18">
        <f>COUNTIF(Achats!$A$5:$A$104,$A361)</f>
        <v/>
      </c>
      <c r="G361" s="18">
        <f>SUMIF(Achats!$A$5:$A$104,$A361,Achats!$D$5:$D$104)</f>
        <v/>
      </c>
    </row>
    <row r="362">
      <c r="A362" s="10" t="n">
        <v>46380</v>
      </c>
      <c r="B362" s="9" t="inlineStr">
        <is>
          <t>Jeudi</t>
        </is>
      </c>
      <c r="C362" s="18">
        <f>COUNTIF(Ventes!$A$5:$A$104,$A362)</f>
        <v/>
      </c>
      <c r="D362" s="11">
        <f>SUMPRODUCT((Ventes!$A$5:$A$104=$A362)*Ventes!$F$5:$F$104)</f>
        <v/>
      </c>
      <c r="E362" s="11">
        <f>SUMPRODUCT((Ventes!$A$5:$A$104=$A362)*Ventes!$G$5:$G$104)</f>
        <v/>
      </c>
      <c r="F362" s="18">
        <f>COUNTIF(Achats!$A$5:$A$104,$A362)</f>
        <v/>
      </c>
      <c r="G362" s="18">
        <f>SUMIF(Achats!$A$5:$A$104,$A362,Achats!$D$5:$D$104)</f>
        <v/>
      </c>
    </row>
    <row r="363">
      <c r="A363" s="10" t="n">
        <v>46381</v>
      </c>
      <c r="B363" s="9" t="inlineStr">
        <is>
          <t>Vendredi</t>
        </is>
      </c>
      <c r="C363" s="18">
        <f>COUNTIF(Ventes!$A$5:$A$104,$A363)</f>
        <v/>
      </c>
      <c r="D363" s="11">
        <f>SUMPRODUCT((Ventes!$A$5:$A$104=$A363)*Ventes!$F$5:$F$104)</f>
        <v/>
      </c>
      <c r="E363" s="11">
        <f>SUMPRODUCT((Ventes!$A$5:$A$104=$A363)*Ventes!$G$5:$G$104)</f>
        <v/>
      </c>
      <c r="F363" s="18">
        <f>COUNTIF(Achats!$A$5:$A$104,$A363)</f>
        <v/>
      </c>
      <c r="G363" s="18">
        <f>SUMIF(Achats!$A$5:$A$104,$A363,Achats!$D$5:$D$104)</f>
        <v/>
      </c>
    </row>
    <row r="364">
      <c r="A364" s="23" t="n">
        <v>46382</v>
      </c>
      <c r="B364" s="24" t="inlineStr">
        <is>
          <t>Samedi</t>
        </is>
      </c>
      <c r="C364" s="25">
        <f>COUNTIF(Ventes!$A$5:$A$104,$A364)</f>
        <v/>
      </c>
      <c r="D364" s="26">
        <f>SUMPRODUCT((Ventes!$A$5:$A$104=$A364)*Ventes!$F$5:$F$104)</f>
        <v/>
      </c>
      <c r="E364" s="26">
        <f>SUMPRODUCT((Ventes!$A$5:$A$104=$A364)*Ventes!$G$5:$G$104)</f>
        <v/>
      </c>
      <c r="F364" s="25">
        <f>COUNTIF(Achats!$A$5:$A$104,$A364)</f>
        <v/>
      </c>
      <c r="G364" s="25">
        <f>SUMIF(Achats!$A$5:$A$104,$A364,Achats!$D$5:$D$104)</f>
        <v/>
      </c>
    </row>
    <row r="365">
      <c r="A365" s="23" t="n">
        <v>46383</v>
      </c>
      <c r="B365" s="24" t="inlineStr">
        <is>
          <t>Dimanche</t>
        </is>
      </c>
      <c r="C365" s="25">
        <f>COUNTIF(Ventes!$A$5:$A$104,$A365)</f>
        <v/>
      </c>
      <c r="D365" s="26">
        <f>SUMPRODUCT((Ventes!$A$5:$A$104=$A365)*Ventes!$F$5:$F$104)</f>
        <v/>
      </c>
      <c r="E365" s="26">
        <f>SUMPRODUCT((Ventes!$A$5:$A$104=$A365)*Ventes!$G$5:$G$104)</f>
        <v/>
      </c>
      <c r="F365" s="25">
        <f>COUNTIF(Achats!$A$5:$A$104,$A365)</f>
        <v/>
      </c>
      <c r="G365" s="25">
        <f>SUMIF(Achats!$A$5:$A$104,$A365,Achats!$D$5:$D$104)</f>
        <v/>
      </c>
    </row>
    <row r="366">
      <c r="A366" s="10" t="n">
        <v>46384</v>
      </c>
      <c r="B366" s="9" t="inlineStr">
        <is>
          <t>Lundi</t>
        </is>
      </c>
      <c r="C366" s="18">
        <f>COUNTIF(Ventes!$A$5:$A$104,$A366)</f>
        <v/>
      </c>
      <c r="D366" s="11">
        <f>SUMPRODUCT((Ventes!$A$5:$A$104=$A366)*Ventes!$F$5:$F$104)</f>
        <v/>
      </c>
      <c r="E366" s="11">
        <f>SUMPRODUCT((Ventes!$A$5:$A$104=$A366)*Ventes!$G$5:$G$104)</f>
        <v/>
      </c>
      <c r="F366" s="18">
        <f>COUNTIF(Achats!$A$5:$A$104,$A366)</f>
        <v/>
      </c>
      <c r="G366" s="18">
        <f>SUMIF(Achats!$A$5:$A$104,$A366,Achats!$D$5:$D$104)</f>
        <v/>
      </c>
    </row>
    <row r="367">
      <c r="A367" s="10" t="n">
        <v>46385</v>
      </c>
      <c r="B367" s="9" t="inlineStr">
        <is>
          <t>Mardi</t>
        </is>
      </c>
      <c r="C367" s="18">
        <f>COUNTIF(Ventes!$A$5:$A$104,$A367)</f>
        <v/>
      </c>
      <c r="D367" s="11">
        <f>SUMPRODUCT((Ventes!$A$5:$A$104=$A367)*Ventes!$F$5:$F$104)</f>
        <v/>
      </c>
      <c r="E367" s="11">
        <f>SUMPRODUCT((Ventes!$A$5:$A$104=$A367)*Ventes!$G$5:$G$104)</f>
        <v/>
      </c>
      <c r="F367" s="18">
        <f>COUNTIF(Achats!$A$5:$A$104,$A367)</f>
        <v/>
      </c>
      <c r="G367" s="18">
        <f>SUMIF(Achats!$A$5:$A$104,$A367,Achats!$D$5:$D$104)</f>
        <v/>
      </c>
    </row>
    <row r="368">
      <c r="A368" s="10" t="n">
        <v>46386</v>
      </c>
      <c r="B368" s="9" t="inlineStr">
        <is>
          <t>Mercredi</t>
        </is>
      </c>
      <c r="C368" s="18">
        <f>COUNTIF(Ventes!$A$5:$A$104,$A368)</f>
        <v/>
      </c>
      <c r="D368" s="11">
        <f>SUMPRODUCT((Ventes!$A$5:$A$104=$A368)*Ventes!$F$5:$F$104)</f>
        <v/>
      </c>
      <c r="E368" s="11">
        <f>SUMPRODUCT((Ventes!$A$5:$A$104=$A368)*Ventes!$G$5:$G$104)</f>
        <v/>
      </c>
      <c r="F368" s="18">
        <f>COUNTIF(Achats!$A$5:$A$104,$A368)</f>
        <v/>
      </c>
      <c r="G368" s="18">
        <f>SUMIF(Achats!$A$5:$A$104,$A368,Achats!$D$5:$D$104)</f>
        <v/>
      </c>
    </row>
    <row r="369">
      <c r="A369" s="10" t="n">
        <v>46387</v>
      </c>
      <c r="B369" s="9" t="inlineStr">
        <is>
          <t>Jeudi</t>
        </is>
      </c>
      <c r="C369" s="18">
        <f>COUNTIF(Ventes!$A$5:$A$104,$A369)</f>
        <v/>
      </c>
      <c r="D369" s="11">
        <f>SUMPRODUCT((Ventes!$A$5:$A$104=$A369)*Ventes!$F$5:$F$104)</f>
        <v/>
      </c>
      <c r="E369" s="11">
        <f>SUMPRODUCT((Ventes!$A$5:$A$104=$A369)*Ventes!$G$5:$G$104)</f>
        <v/>
      </c>
      <c r="F369" s="18">
        <f>COUNTIF(Achats!$A$5:$A$104,$A369)</f>
        <v/>
      </c>
      <c r="G369" s="18">
        <f>SUMIF(Achats!$A$5:$A$104,$A369,Achats!$D$5:$D$104)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8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VUE DU JOUR</t>
        </is>
      </c>
    </row>
    <row r="2">
      <c r="A2" s="2" t="inlineStr">
        <is>
          <t>Choisissez une date en B3.</t>
        </is>
      </c>
    </row>
    <row r="3">
      <c r="A3" s="27" t="inlineStr">
        <is>
          <t>Date :</t>
        </is>
      </c>
      <c r="B3" s="28" t="n">
        <v>46283</v>
      </c>
    </row>
    <row r="4"/>
    <row r="5">
      <c r="A5" s="29" t="inlineStr">
        <is>
          <t>Nb ventes</t>
        </is>
      </c>
      <c r="B5" s="30">
        <f>COUNTIF(Ventes!$A$5:$A$104,$B$3)</f>
        <v/>
      </c>
    </row>
    <row r="6">
      <c r="A6" s="29" t="inlineStr">
        <is>
          <t>CA du jour</t>
        </is>
      </c>
      <c r="B6" s="31">
        <f>SUMPRODUCT((Ventes!$A$5:$A$104=$B$3)*Ventes!$F$5:$F$104)</f>
        <v/>
      </c>
    </row>
    <row r="7">
      <c r="A7" s="29" t="inlineStr">
        <is>
          <t>Bénéfice</t>
        </is>
      </c>
      <c r="B7" s="31">
        <f>SUMPRODUCT((Ventes!$A$5:$A$104=$B$3)*Ventes!$G$5:$G$104)</f>
        <v/>
      </c>
    </row>
    <row r="8">
      <c r="A8" s="29" t="inlineStr">
        <is>
          <t>Nb achats</t>
        </is>
      </c>
      <c r="B8" s="30">
        <f>COUNTIF(Achats!$A$5:$A$104,$B$3)</f>
        <v/>
      </c>
    </row>
    <row r="9"/>
    <row r="10">
      <c r="A10" s="3" t="inlineStr">
        <is>
          <t>VENTES DU JOUR</t>
        </is>
      </c>
    </row>
    <row r="11">
      <c r="A11" s="8" t="inlineStr">
        <is>
          <t>SKU</t>
        </is>
      </c>
      <c r="B11" s="8" t="inlineStr">
        <is>
          <t>Produit</t>
        </is>
      </c>
      <c r="C11" s="8" t="inlineStr">
        <is>
          <t>Qté</t>
        </is>
      </c>
      <c r="D11" s="8" t="inlineStr">
        <is>
          <t>Client</t>
        </is>
      </c>
      <c r="E11" s="8" t="inlineStr">
        <is>
          <t>CA</t>
        </is>
      </c>
      <c r="F11" s="8" t="inlineStr">
        <is>
          <t>Bénéfice</t>
        </is>
      </c>
    </row>
    <row r="12">
      <c r="A12" s="9">
        <f>IFERROR(INDEX(Ventes!$C$5:$C$104,MATCH(TEXT($B$3,"YYYY-MM-DD")&amp;"-"&amp;1,Ventes!$I$5:$I$104,0)),"")</f>
        <v/>
      </c>
      <c r="B12" s="9">
        <f>IF($A12="","",INDEX(Produits!$B:$B,MATCH($A12,Produits!$A:$A,0)))</f>
        <v/>
      </c>
      <c r="C12" s="9">
        <f>IF($A12="","",INDEX(Ventes!$D$5:$D$104,MATCH(TEXT($B$3,"YYYY-MM-DD")&amp;"-"&amp;1,Ventes!$I$5:$I$104,0)))</f>
        <v/>
      </c>
      <c r="D12" s="9">
        <f>IF($A12="","",INDEX(Ventes!$E$5:$E$104,MATCH(TEXT($B$3,"YYYY-MM-DD")&amp;"-"&amp;1,Ventes!$I$5:$I$104,0)))</f>
        <v/>
      </c>
      <c r="E12" s="11">
        <f>IF($A12="","",INDEX(Ventes!$F$5:$F$104,MATCH(TEXT($B$3,"YYYY-MM-DD")&amp;"-"&amp;1,Ventes!$I$5:$I$104,0)))</f>
        <v/>
      </c>
      <c r="F12" s="11">
        <f>IF($A12="","",INDEX(Ventes!$G$5:$G$104,MATCH(TEXT($B$3,"YYYY-MM-DD")&amp;"-"&amp;1,Ventes!$I$5:$I$104,0)))</f>
        <v/>
      </c>
    </row>
    <row r="13">
      <c r="A13" s="9">
        <f>IFERROR(INDEX(Ventes!$C$5:$C$104,MATCH(TEXT($B$3,"YYYY-MM-DD")&amp;"-"&amp;2,Ventes!$I$5:$I$104,0)),"")</f>
        <v/>
      </c>
      <c r="B13" s="9">
        <f>IF($A13="","",INDEX(Produits!$B:$B,MATCH($A13,Produits!$A:$A,0)))</f>
        <v/>
      </c>
      <c r="C13" s="9">
        <f>IF($A13="","",INDEX(Ventes!$D$5:$D$104,MATCH(TEXT($B$3,"YYYY-MM-DD")&amp;"-"&amp;2,Ventes!$I$5:$I$104,0)))</f>
        <v/>
      </c>
      <c r="D13" s="9">
        <f>IF($A13="","",INDEX(Ventes!$E$5:$E$104,MATCH(TEXT($B$3,"YYYY-MM-DD")&amp;"-"&amp;2,Ventes!$I$5:$I$104,0)))</f>
        <v/>
      </c>
      <c r="E13" s="11">
        <f>IF($A13="","",INDEX(Ventes!$F$5:$F$104,MATCH(TEXT($B$3,"YYYY-MM-DD")&amp;"-"&amp;2,Ventes!$I$5:$I$104,0)))</f>
        <v/>
      </c>
      <c r="F13" s="11">
        <f>IF($A13="","",INDEX(Ventes!$G$5:$G$104,MATCH(TEXT($B$3,"YYYY-MM-DD")&amp;"-"&amp;2,Ventes!$I$5:$I$104,0)))</f>
        <v/>
      </c>
    </row>
    <row r="14">
      <c r="A14" s="9">
        <f>IFERROR(INDEX(Ventes!$C$5:$C$104,MATCH(TEXT($B$3,"YYYY-MM-DD")&amp;"-"&amp;3,Ventes!$I$5:$I$104,0)),"")</f>
        <v/>
      </c>
      <c r="B14" s="9">
        <f>IF($A14="","",INDEX(Produits!$B:$B,MATCH($A14,Produits!$A:$A,0)))</f>
        <v/>
      </c>
      <c r="C14" s="9">
        <f>IF($A14="","",INDEX(Ventes!$D$5:$D$104,MATCH(TEXT($B$3,"YYYY-MM-DD")&amp;"-"&amp;3,Ventes!$I$5:$I$104,0)))</f>
        <v/>
      </c>
      <c r="D14" s="9">
        <f>IF($A14="","",INDEX(Ventes!$E$5:$E$104,MATCH(TEXT($B$3,"YYYY-MM-DD")&amp;"-"&amp;3,Ventes!$I$5:$I$104,0)))</f>
        <v/>
      </c>
      <c r="E14" s="11">
        <f>IF($A14="","",INDEX(Ventes!$F$5:$F$104,MATCH(TEXT($B$3,"YYYY-MM-DD")&amp;"-"&amp;3,Ventes!$I$5:$I$104,0)))</f>
        <v/>
      </c>
      <c r="F14" s="11">
        <f>IF($A14="","",INDEX(Ventes!$G$5:$G$104,MATCH(TEXT($B$3,"YYYY-MM-DD")&amp;"-"&amp;3,Ventes!$I$5:$I$104,0)))</f>
        <v/>
      </c>
    </row>
    <row r="15">
      <c r="A15" s="9">
        <f>IFERROR(INDEX(Ventes!$C$5:$C$104,MATCH(TEXT($B$3,"YYYY-MM-DD")&amp;"-"&amp;4,Ventes!$I$5:$I$104,0)),"")</f>
        <v/>
      </c>
      <c r="B15" s="9">
        <f>IF($A15="","",INDEX(Produits!$B:$B,MATCH($A15,Produits!$A:$A,0)))</f>
        <v/>
      </c>
      <c r="C15" s="9">
        <f>IF($A15="","",INDEX(Ventes!$D$5:$D$104,MATCH(TEXT($B$3,"YYYY-MM-DD")&amp;"-"&amp;4,Ventes!$I$5:$I$104,0)))</f>
        <v/>
      </c>
      <c r="D15" s="9">
        <f>IF($A15="","",INDEX(Ventes!$E$5:$E$104,MATCH(TEXT($B$3,"YYYY-MM-DD")&amp;"-"&amp;4,Ventes!$I$5:$I$104,0)))</f>
        <v/>
      </c>
      <c r="E15" s="11">
        <f>IF($A15="","",INDEX(Ventes!$F$5:$F$104,MATCH(TEXT($B$3,"YYYY-MM-DD")&amp;"-"&amp;4,Ventes!$I$5:$I$104,0)))</f>
        <v/>
      </c>
      <c r="F15" s="11">
        <f>IF($A15="","",INDEX(Ventes!$G$5:$G$104,MATCH(TEXT($B$3,"YYYY-MM-DD")&amp;"-"&amp;4,Ventes!$I$5:$I$104,0)))</f>
        <v/>
      </c>
    </row>
    <row r="16">
      <c r="A16" s="9">
        <f>IFERROR(INDEX(Ventes!$C$5:$C$104,MATCH(TEXT($B$3,"YYYY-MM-DD")&amp;"-"&amp;5,Ventes!$I$5:$I$104,0)),"")</f>
        <v/>
      </c>
      <c r="B16" s="9">
        <f>IF($A16="","",INDEX(Produits!$B:$B,MATCH($A16,Produits!$A:$A,0)))</f>
        <v/>
      </c>
      <c r="C16" s="9">
        <f>IF($A16="","",INDEX(Ventes!$D$5:$D$104,MATCH(TEXT($B$3,"YYYY-MM-DD")&amp;"-"&amp;5,Ventes!$I$5:$I$104,0)))</f>
        <v/>
      </c>
      <c r="D16" s="9">
        <f>IF($A16="","",INDEX(Ventes!$E$5:$E$104,MATCH(TEXT($B$3,"YYYY-MM-DD")&amp;"-"&amp;5,Ventes!$I$5:$I$104,0)))</f>
        <v/>
      </c>
      <c r="E16" s="11">
        <f>IF($A16="","",INDEX(Ventes!$F$5:$F$104,MATCH(TEXT($B$3,"YYYY-MM-DD")&amp;"-"&amp;5,Ventes!$I$5:$I$104,0)))</f>
        <v/>
      </c>
      <c r="F16" s="11">
        <f>IF($A16="","",INDEX(Ventes!$G$5:$G$104,MATCH(TEXT($B$3,"YYYY-MM-DD")&amp;"-"&amp;5,Ventes!$I$5:$I$104,0)))</f>
        <v/>
      </c>
    </row>
    <row r="17">
      <c r="A17" s="9">
        <f>IFERROR(INDEX(Ventes!$C$5:$C$104,MATCH(TEXT($B$3,"YYYY-MM-DD")&amp;"-"&amp;6,Ventes!$I$5:$I$104,0)),"")</f>
        <v/>
      </c>
      <c r="B17" s="9">
        <f>IF($A17="","",INDEX(Produits!$B:$B,MATCH($A17,Produits!$A:$A,0)))</f>
        <v/>
      </c>
      <c r="C17" s="9">
        <f>IF($A17="","",INDEX(Ventes!$D$5:$D$104,MATCH(TEXT($B$3,"YYYY-MM-DD")&amp;"-"&amp;6,Ventes!$I$5:$I$104,0)))</f>
        <v/>
      </c>
      <c r="D17" s="9">
        <f>IF($A17="","",INDEX(Ventes!$E$5:$E$104,MATCH(TEXT($B$3,"YYYY-MM-DD")&amp;"-"&amp;6,Ventes!$I$5:$I$104,0)))</f>
        <v/>
      </c>
      <c r="E17" s="11">
        <f>IF($A17="","",INDEX(Ventes!$F$5:$F$104,MATCH(TEXT($B$3,"YYYY-MM-DD")&amp;"-"&amp;6,Ventes!$I$5:$I$104,0)))</f>
        <v/>
      </c>
      <c r="F17" s="11">
        <f>IF($A17="","",INDEX(Ventes!$G$5:$G$104,MATCH(TEXT($B$3,"YYYY-MM-DD")&amp;"-"&amp;6,Ventes!$I$5:$I$104,0)))</f>
        <v/>
      </c>
    </row>
    <row r="18">
      <c r="A18" s="9">
        <f>IFERROR(INDEX(Ventes!$C$5:$C$104,MATCH(TEXT($B$3,"YYYY-MM-DD")&amp;"-"&amp;7,Ventes!$I$5:$I$104,0)),"")</f>
        <v/>
      </c>
      <c r="B18" s="9">
        <f>IF($A18="","",INDEX(Produits!$B:$B,MATCH($A18,Produits!$A:$A,0)))</f>
        <v/>
      </c>
      <c r="C18" s="9">
        <f>IF($A18="","",INDEX(Ventes!$D$5:$D$104,MATCH(TEXT($B$3,"YYYY-MM-DD")&amp;"-"&amp;7,Ventes!$I$5:$I$104,0)))</f>
        <v/>
      </c>
      <c r="D18" s="9">
        <f>IF($A18="","",INDEX(Ventes!$E$5:$E$104,MATCH(TEXT($B$3,"YYYY-MM-DD")&amp;"-"&amp;7,Ventes!$I$5:$I$104,0)))</f>
        <v/>
      </c>
      <c r="E18" s="11">
        <f>IF($A18="","",INDEX(Ventes!$F$5:$F$104,MATCH(TEXT($B$3,"YYYY-MM-DD")&amp;"-"&amp;7,Ventes!$I$5:$I$104,0)))</f>
        <v/>
      </c>
      <c r="F18" s="11">
        <f>IF($A18="","",INDEX(Ventes!$G$5:$G$104,MATCH(TEXT($B$3,"YYYY-MM-DD")&amp;"-"&amp;7,Ventes!$I$5:$I$104,0)))</f>
        <v/>
      </c>
    </row>
    <row r="19">
      <c r="A19" s="9">
        <f>IFERROR(INDEX(Ventes!$C$5:$C$104,MATCH(TEXT($B$3,"YYYY-MM-DD")&amp;"-"&amp;8,Ventes!$I$5:$I$104,0)),"")</f>
        <v/>
      </c>
      <c r="B19" s="9">
        <f>IF($A19="","",INDEX(Produits!$B:$B,MATCH($A19,Produits!$A:$A,0)))</f>
        <v/>
      </c>
      <c r="C19" s="9">
        <f>IF($A19="","",INDEX(Ventes!$D$5:$D$104,MATCH(TEXT($B$3,"YYYY-MM-DD")&amp;"-"&amp;8,Ventes!$I$5:$I$104,0)))</f>
        <v/>
      </c>
      <c r="D19" s="9">
        <f>IF($A19="","",INDEX(Ventes!$E$5:$E$104,MATCH(TEXT($B$3,"YYYY-MM-DD")&amp;"-"&amp;8,Ventes!$I$5:$I$104,0)))</f>
        <v/>
      </c>
      <c r="E19" s="11">
        <f>IF($A19="","",INDEX(Ventes!$F$5:$F$104,MATCH(TEXT($B$3,"YYYY-MM-DD")&amp;"-"&amp;8,Ventes!$I$5:$I$104,0)))</f>
        <v/>
      </c>
      <c r="F19" s="11">
        <f>IF($A19="","",INDEX(Ventes!$G$5:$G$104,MATCH(TEXT($B$3,"YYYY-MM-DD")&amp;"-"&amp;8,Ventes!$I$5:$I$104,0)))</f>
        <v/>
      </c>
    </row>
    <row r="20">
      <c r="A20" s="9">
        <f>IFERROR(INDEX(Ventes!$C$5:$C$104,MATCH(TEXT($B$3,"YYYY-MM-DD")&amp;"-"&amp;9,Ventes!$I$5:$I$104,0)),"")</f>
        <v/>
      </c>
      <c r="B20" s="9">
        <f>IF($A20="","",INDEX(Produits!$B:$B,MATCH($A20,Produits!$A:$A,0)))</f>
        <v/>
      </c>
      <c r="C20" s="9">
        <f>IF($A20="","",INDEX(Ventes!$D$5:$D$104,MATCH(TEXT($B$3,"YYYY-MM-DD")&amp;"-"&amp;9,Ventes!$I$5:$I$104,0)))</f>
        <v/>
      </c>
      <c r="D20" s="9">
        <f>IF($A20="","",INDEX(Ventes!$E$5:$E$104,MATCH(TEXT($B$3,"YYYY-MM-DD")&amp;"-"&amp;9,Ventes!$I$5:$I$104,0)))</f>
        <v/>
      </c>
      <c r="E20" s="11">
        <f>IF($A20="","",INDEX(Ventes!$F$5:$F$104,MATCH(TEXT($B$3,"YYYY-MM-DD")&amp;"-"&amp;9,Ventes!$I$5:$I$104,0)))</f>
        <v/>
      </c>
      <c r="F20" s="11">
        <f>IF($A20="","",INDEX(Ventes!$G$5:$G$104,MATCH(TEXT($B$3,"YYYY-MM-DD")&amp;"-"&amp;9,Ventes!$I$5:$I$104,0)))</f>
        <v/>
      </c>
    </row>
    <row r="21">
      <c r="A21" s="9">
        <f>IFERROR(INDEX(Ventes!$C$5:$C$104,MATCH(TEXT($B$3,"YYYY-MM-DD")&amp;"-"&amp;10,Ventes!$I$5:$I$104,0)),"")</f>
        <v/>
      </c>
      <c r="B21" s="9">
        <f>IF($A21="","",INDEX(Produits!$B:$B,MATCH($A21,Produits!$A:$A,0)))</f>
        <v/>
      </c>
      <c r="C21" s="9">
        <f>IF($A21="","",INDEX(Ventes!$D$5:$D$104,MATCH(TEXT($B$3,"YYYY-MM-DD")&amp;"-"&amp;10,Ventes!$I$5:$I$104,0)))</f>
        <v/>
      </c>
      <c r="D21" s="9">
        <f>IF($A21="","",INDEX(Ventes!$E$5:$E$104,MATCH(TEXT($B$3,"YYYY-MM-DD")&amp;"-"&amp;10,Ventes!$I$5:$I$104,0)))</f>
        <v/>
      </c>
      <c r="E21" s="11">
        <f>IF($A21="","",INDEX(Ventes!$F$5:$F$104,MATCH(TEXT($B$3,"YYYY-MM-DD")&amp;"-"&amp;10,Ventes!$I$5:$I$104,0)))</f>
        <v/>
      </c>
      <c r="F21" s="11">
        <f>IF($A21="","",INDEX(Ventes!$G$5:$G$104,MATCH(TEXT($B$3,"YYYY-MM-DD")&amp;"-"&amp;10,Ventes!$I$5:$I$104,0)))</f>
        <v/>
      </c>
    </row>
    <row r="22">
      <c r="A22" s="9">
        <f>IFERROR(INDEX(Ventes!$C$5:$C$104,MATCH(TEXT($B$3,"YYYY-MM-DD")&amp;"-"&amp;11,Ventes!$I$5:$I$104,0)),"")</f>
        <v/>
      </c>
      <c r="B22" s="9">
        <f>IF($A22="","",INDEX(Produits!$B:$B,MATCH($A22,Produits!$A:$A,0)))</f>
        <v/>
      </c>
      <c r="C22" s="9">
        <f>IF($A22="","",INDEX(Ventes!$D$5:$D$104,MATCH(TEXT($B$3,"YYYY-MM-DD")&amp;"-"&amp;11,Ventes!$I$5:$I$104,0)))</f>
        <v/>
      </c>
      <c r="D22" s="9">
        <f>IF($A22="","",INDEX(Ventes!$E$5:$E$104,MATCH(TEXT($B$3,"YYYY-MM-DD")&amp;"-"&amp;11,Ventes!$I$5:$I$104,0)))</f>
        <v/>
      </c>
      <c r="E22" s="11">
        <f>IF($A22="","",INDEX(Ventes!$F$5:$F$104,MATCH(TEXT($B$3,"YYYY-MM-DD")&amp;"-"&amp;11,Ventes!$I$5:$I$104,0)))</f>
        <v/>
      </c>
      <c r="F22" s="11">
        <f>IF($A22="","",INDEX(Ventes!$G$5:$G$104,MATCH(TEXT($B$3,"YYYY-MM-DD")&amp;"-"&amp;11,Ventes!$I$5:$I$104,0)))</f>
        <v/>
      </c>
    </row>
    <row r="23">
      <c r="A23" s="9">
        <f>IFERROR(INDEX(Ventes!$C$5:$C$104,MATCH(TEXT($B$3,"YYYY-MM-DD")&amp;"-"&amp;12,Ventes!$I$5:$I$104,0)),"")</f>
        <v/>
      </c>
      <c r="B23" s="9">
        <f>IF($A23="","",INDEX(Produits!$B:$B,MATCH($A23,Produits!$A:$A,0)))</f>
        <v/>
      </c>
      <c r="C23" s="9">
        <f>IF($A23="","",INDEX(Ventes!$D$5:$D$104,MATCH(TEXT($B$3,"YYYY-MM-DD")&amp;"-"&amp;12,Ventes!$I$5:$I$104,0)))</f>
        <v/>
      </c>
      <c r="D23" s="9">
        <f>IF($A23="","",INDEX(Ventes!$E$5:$E$104,MATCH(TEXT($B$3,"YYYY-MM-DD")&amp;"-"&amp;12,Ventes!$I$5:$I$104,0)))</f>
        <v/>
      </c>
      <c r="E23" s="11">
        <f>IF($A23="","",INDEX(Ventes!$F$5:$F$104,MATCH(TEXT($B$3,"YYYY-MM-DD")&amp;"-"&amp;12,Ventes!$I$5:$I$104,0)))</f>
        <v/>
      </c>
      <c r="F23" s="11">
        <f>IF($A23="","",INDEX(Ventes!$G$5:$G$104,MATCH(TEXT($B$3,"YYYY-MM-DD")&amp;"-"&amp;12,Ventes!$I$5:$I$104,0)))</f>
        <v/>
      </c>
    </row>
    <row r="24">
      <c r="A24" s="9">
        <f>IFERROR(INDEX(Ventes!$C$5:$C$104,MATCH(TEXT($B$3,"YYYY-MM-DD")&amp;"-"&amp;13,Ventes!$I$5:$I$104,0)),"")</f>
        <v/>
      </c>
      <c r="B24" s="9">
        <f>IF($A24="","",INDEX(Produits!$B:$B,MATCH($A24,Produits!$A:$A,0)))</f>
        <v/>
      </c>
      <c r="C24" s="9">
        <f>IF($A24="","",INDEX(Ventes!$D$5:$D$104,MATCH(TEXT($B$3,"YYYY-MM-DD")&amp;"-"&amp;13,Ventes!$I$5:$I$104,0)))</f>
        <v/>
      </c>
      <c r="D24" s="9">
        <f>IF($A24="","",INDEX(Ventes!$E$5:$E$104,MATCH(TEXT($B$3,"YYYY-MM-DD")&amp;"-"&amp;13,Ventes!$I$5:$I$104,0)))</f>
        <v/>
      </c>
      <c r="E24" s="11">
        <f>IF($A24="","",INDEX(Ventes!$F$5:$F$104,MATCH(TEXT($B$3,"YYYY-MM-DD")&amp;"-"&amp;13,Ventes!$I$5:$I$104,0)))</f>
        <v/>
      </c>
      <c r="F24" s="11">
        <f>IF($A24="","",INDEX(Ventes!$G$5:$G$104,MATCH(TEXT($B$3,"YYYY-MM-DD")&amp;"-"&amp;13,Ventes!$I$5:$I$104,0)))</f>
        <v/>
      </c>
    </row>
    <row r="25">
      <c r="A25" s="9">
        <f>IFERROR(INDEX(Ventes!$C$5:$C$104,MATCH(TEXT($B$3,"YYYY-MM-DD")&amp;"-"&amp;14,Ventes!$I$5:$I$104,0)),"")</f>
        <v/>
      </c>
      <c r="B25" s="9">
        <f>IF($A25="","",INDEX(Produits!$B:$B,MATCH($A25,Produits!$A:$A,0)))</f>
        <v/>
      </c>
      <c r="C25" s="9">
        <f>IF($A25="","",INDEX(Ventes!$D$5:$D$104,MATCH(TEXT($B$3,"YYYY-MM-DD")&amp;"-"&amp;14,Ventes!$I$5:$I$104,0)))</f>
        <v/>
      </c>
      <c r="D25" s="9">
        <f>IF($A25="","",INDEX(Ventes!$E$5:$E$104,MATCH(TEXT($B$3,"YYYY-MM-DD")&amp;"-"&amp;14,Ventes!$I$5:$I$104,0)))</f>
        <v/>
      </c>
      <c r="E25" s="11">
        <f>IF($A25="","",INDEX(Ventes!$F$5:$F$104,MATCH(TEXT($B$3,"YYYY-MM-DD")&amp;"-"&amp;14,Ventes!$I$5:$I$104,0)))</f>
        <v/>
      </c>
      <c r="F25" s="11">
        <f>IF($A25="","",INDEX(Ventes!$G$5:$G$104,MATCH(TEXT($B$3,"YYYY-MM-DD")&amp;"-"&amp;14,Ventes!$I$5:$I$104,0)))</f>
        <v/>
      </c>
    </row>
    <row r="26">
      <c r="A26" s="9">
        <f>IFERROR(INDEX(Ventes!$C$5:$C$104,MATCH(TEXT($B$3,"YYYY-MM-DD")&amp;"-"&amp;15,Ventes!$I$5:$I$104,0)),"")</f>
        <v/>
      </c>
      <c r="B26" s="9">
        <f>IF($A26="","",INDEX(Produits!$B:$B,MATCH($A26,Produits!$A:$A,0)))</f>
        <v/>
      </c>
      <c r="C26" s="9">
        <f>IF($A26="","",INDEX(Ventes!$D$5:$D$104,MATCH(TEXT($B$3,"YYYY-MM-DD")&amp;"-"&amp;15,Ventes!$I$5:$I$104,0)))</f>
        <v/>
      </c>
      <c r="D26" s="9">
        <f>IF($A26="","",INDEX(Ventes!$E$5:$E$104,MATCH(TEXT($B$3,"YYYY-MM-DD")&amp;"-"&amp;15,Ventes!$I$5:$I$104,0)))</f>
        <v/>
      </c>
      <c r="E26" s="11">
        <f>IF($A26="","",INDEX(Ventes!$F$5:$F$104,MATCH(TEXT($B$3,"YYYY-MM-DD")&amp;"-"&amp;15,Ventes!$I$5:$I$104,0)))</f>
        <v/>
      </c>
      <c r="F26" s="11">
        <f>IF($A26="","",INDEX(Ventes!$G$5:$G$104,MATCH(TEXT($B$3,"YYYY-MM-DD")&amp;"-"&amp;15,Ventes!$I$5:$I$104,0)))</f>
        <v/>
      </c>
    </row>
    <row r="27">
      <c r="A27" s="9">
        <f>IFERROR(INDEX(Ventes!$C$5:$C$104,MATCH(TEXT($B$3,"YYYY-MM-DD")&amp;"-"&amp;16,Ventes!$I$5:$I$104,0)),"")</f>
        <v/>
      </c>
      <c r="B27" s="9">
        <f>IF($A27="","",INDEX(Produits!$B:$B,MATCH($A27,Produits!$A:$A,0)))</f>
        <v/>
      </c>
      <c r="C27" s="9">
        <f>IF($A27="","",INDEX(Ventes!$D$5:$D$104,MATCH(TEXT($B$3,"YYYY-MM-DD")&amp;"-"&amp;16,Ventes!$I$5:$I$104,0)))</f>
        <v/>
      </c>
      <c r="D27" s="9">
        <f>IF($A27="","",INDEX(Ventes!$E$5:$E$104,MATCH(TEXT($B$3,"YYYY-MM-DD")&amp;"-"&amp;16,Ventes!$I$5:$I$104,0)))</f>
        <v/>
      </c>
      <c r="E27" s="11">
        <f>IF($A27="","",INDEX(Ventes!$F$5:$F$104,MATCH(TEXT($B$3,"YYYY-MM-DD")&amp;"-"&amp;16,Ventes!$I$5:$I$104,0)))</f>
        <v/>
      </c>
      <c r="F27" s="11">
        <f>IF($A27="","",INDEX(Ventes!$G$5:$G$104,MATCH(TEXT($B$3,"YYYY-MM-DD")&amp;"-"&amp;16,Ventes!$I$5:$I$104,0)))</f>
        <v/>
      </c>
    </row>
    <row r="28">
      <c r="A28" s="9">
        <f>IFERROR(INDEX(Ventes!$C$5:$C$104,MATCH(TEXT($B$3,"YYYY-MM-DD")&amp;"-"&amp;17,Ventes!$I$5:$I$104,0)),"")</f>
        <v/>
      </c>
      <c r="B28" s="9">
        <f>IF($A28="","",INDEX(Produits!$B:$B,MATCH($A28,Produits!$A:$A,0)))</f>
        <v/>
      </c>
      <c r="C28" s="9">
        <f>IF($A28="","",INDEX(Ventes!$D$5:$D$104,MATCH(TEXT($B$3,"YYYY-MM-DD")&amp;"-"&amp;17,Ventes!$I$5:$I$104,0)))</f>
        <v/>
      </c>
      <c r="D28" s="9">
        <f>IF($A28="","",INDEX(Ventes!$E$5:$E$104,MATCH(TEXT($B$3,"YYYY-MM-DD")&amp;"-"&amp;17,Ventes!$I$5:$I$104,0)))</f>
        <v/>
      </c>
      <c r="E28" s="11">
        <f>IF($A28="","",INDEX(Ventes!$F$5:$F$104,MATCH(TEXT($B$3,"YYYY-MM-DD")&amp;"-"&amp;17,Ventes!$I$5:$I$104,0)))</f>
        <v/>
      </c>
      <c r="F28" s="11">
        <f>IF($A28="","",INDEX(Ventes!$G$5:$G$104,MATCH(TEXT($B$3,"YYYY-MM-DD")&amp;"-"&amp;17,Ventes!$I$5:$I$104,0)))</f>
        <v/>
      </c>
    </row>
    <row r="29">
      <c r="A29" s="9">
        <f>IFERROR(INDEX(Ventes!$C$5:$C$104,MATCH(TEXT($B$3,"YYYY-MM-DD")&amp;"-"&amp;18,Ventes!$I$5:$I$104,0)),"")</f>
        <v/>
      </c>
      <c r="B29" s="9">
        <f>IF($A29="","",INDEX(Produits!$B:$B,MATCH($A29,Produits!$A:$A,0)))</f>
        <v/>
      </c>
      <c r="C29" s="9">
        <f>IF($A29="","",INDEX(Ventes!$D$5:$D$104,MATCH(TEXT($B$3,"YYYY-MM-DD")&amp;"-"&amp;18,Ventes!$I$5:$I$104,0)))</f>
        <v/>
      </c>
      <c r="D29" s="9">
        <f>IF($A29="","",INDEX(Ventes!$E$5:$E$104,MATCH(TEXT($B$3,"YYYY-MM-DD")&amp;"-"&amp;18,Ventes!$I$5:$I$104,0)))</f>
        <v/>
      </c>
      <c r="E29" s="11">
        <f>IF($A29="","",INDEX(Ventes!$F$5:$F$104,MATCH(TEXT($B$3,"YYYY-MM-DD")&amp;"-"&amp;18,Ventes!$I$5:$I$104,0)))</f>
        <v/>
      </c>
      <c r="F29" s="11">
        <f>IF($A29="","",INDEX(Ventes!$G$5:$G$104,MATCH(TEXT($B$3,"YYYY-MM-DD")&amp;"-"&amp;18,Ventes!$I$5:$I$104,0)))</f>
        <v/>
      </c>
    </row>
    <row r="30">
      <c r="A30" s="9">
        <f>IFERROR(INDEX(Ventes!$C$5:$C$104,MATCH(TEXT($B$3,"YYYY-MM-DD")&amp;"-"&amp;19,Ventes!$I$5:$I$104,0)),"")</f>
        <v/>
      </c>
      <c r="B30" s="9">
        <f>IF($A30="","",INDEX(Produits!$B:$B,MATCH($A30,Produits!$A:$A,0)))</f>
        <v/>
      </c>
      <c r="C30" s="9">
        <f>IF($A30="","",INDEX(Ventes!$D$5:$D$104,MATCH(TEXT($B$3,"YYYY-MM-DD")&amp;"-"&amp;19,Ventes!$I$5:$I$104,0)))</f>
        <v/>
      </c>
      <c r="D30" s="9">
        <f>IF($A30="","",INDEX(Ventes!$E$5:$E$104,MATCH(TEXT($B$3,"YYYY-MM-DD")&amp;"-"&amp;19,Ventes!$I$5:$I$104,0)))</f>
        <v/>
      </c>
      <c r="E30" s="11">
        <f>IF($A30="","",INDEX(Ventes!$F$5:$F$104,MATCH(TEXT($B$3,"YYYY-MM-DD")&amp;"-"&amp;19,Ventes!$I$5:$I$104,0)))</f>
        <v/>
      </c>
      <c r="F30" s="11">
        <f>IF($A30="","",INDEX(Ventes!$G$5:$G$104,MATCH(TEXT($B$3,"YYYY-MM-DD")&amp;"-"&amp;19,Ventes!$I$5:$I$104,0)))</f>
        <v/>
      </c>
    </row>
    <row r="31">
      <c r="A31" s="9">
        <f>IFERROR(INDEX(Ventes!$C$5:$C$104,MATCH(TEXT($B$3,"YYYY-MM-DD")&amp;"-"&amp;20,Ventes!$I$5:$I$104,0)),"")</f>
        <v/>
      </c>
      <c r="B31" s="9">
        <f>IF($A31="","",INDEX(Produits!$B:$B,MATCH($A31,Produits!$A:$A,0)))</f>
        <v/>
      </c>
      <c r="C31" s="9">
        <f>IF($A31="","",INDEX(Ventes!$D$5:$D$104,MATCH(TEXT($B$3,"YYYY-MM-DD")&amp;"-"&amp;20,Ventes!$I$5:$I$104,0)))</f>
        <v/>
      </c>
      <c r="D31" s="9">
        <f>IF($A31="","",INDEX(Ventes!$E$5:$E$104,MATCH(TEXT($B$3,"YYYY-MM-DD")&amp;"-"&amp;20,Ventes!$I$5:$I$104,0)))</f>
        <v/>
      </c>
      <c r="E31" s="11">
        <f>IF($A31="","",INDEX(Ventes!$F$5:$F$104,MATCH(TEXT($B$3,"YYYY-MM-DD")&amp;"-"&amp;20,Ventes!$I$5:$I$104,0)))</f>
        <v/>
      </c>
      <c r="F31" s="11">
        <f>IF($A31="","",INDEX(Ventes!$G$5:$G$104,MATCH(TEXT($B$3,"YYYY-MM-DD")&amp;"-"&amp;20,Ventes!$I$5:$I$104,0)))</f>
        <v/>
      </c>
    </row>
    <row r="32"/>
    <row r="33"/>
    <row r="34"/>
    <row r="35"/>
    <row r="36"/>
    <row r="37"/>
    <row r="38"/>
    <row r="39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mergeCells count="2"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FICHE DU JOUR</t>
        </is>
      </c>
    </row>
    <row r="2">
      <c r="A2" s="32">
        <f>TODAY()</f>
        <v/>
      </c>
    </row>
    <row r="3"/>
    <row r="4">
      <c r="A4" s="29" t="inlineStr">
        <is>
          <t>CA du jour</t>
        </is>
      </c>
      <c r="B4" s="11">
        <f>SUMPRODUCT((INT(Ventes!$A$5:$A$104)=TODAY())*Ventes!$F$5:$F$104)</f>
        <v/>
      </c>
    </row>
    <row r="5">
      <c r="A5" s="29" t="inlineStr">
        <is>
          <t>Bénéfice du jour</t>
        </is>
      </c>
      <c r="B5" s="11">
        <f>SUMPRODUCT((INT(Ventes!$A$5:$A$104)=TODAY())*Ventes!$G$5:$G$104)</f>
        <v/>
      </c>
    </row>
    <row r="6">
      <c r="A6" s="29" t="inlineStr">
        <is>
          <t>Nb ventes du jour</t>
        </is>
      </c>
      <c r="B6" s="33">
        <f>COUNTIFS(Ventes!$A$5:$A$104,"&gt;="&amp;TODAY(),Ventes!$A$5:$A$104,"&lt;"&amp;TODAY()+1)</f>
        <v/>
      </c>
    </row>
    <row r="7">
      <c r="A7" s="29" t="inlineStr">
        <is>
          <t>Nb achats du jour</t>
        </is>
      </c>
      <c r="B7" s="33">
        <f>COUNTIFS(Achats!$A$5:$A$104,"&gt;="&amp;TODAY(),Achats!$A$5:$A$104,"&lt;"&amp;TODAY()+1)</f>
        <v/>
      </c>
    </row>
    <row r="8">
      <c r="A8" s="29" t="inlineStr">
        <is>
          <t>CA du mois</t>
        </is>
      </c>
      <c r="B8" s="11">
        <f>SUMPRODUCT((TEXT(Ventes!$A$5:$A$104,"YYYY-MM")=TEXT(TODAY(),"YYYY-MM"))*Ventes!$F$5:$F$104)</f>
        <v/>
      </c>
    </row>
    <row r="9">
      <c r="A9" s="29" t="inlineStr">
        <is>
          <t>Bénéfice du mois</t>
        </is>
      </c>
      <c r="B9" s="11">
        <f>SUMPRODUCT((TEXT(Ventes!$A$5:$A$104,"YYYY-MM")=TEXT(TODAY(),"YYYY-MM"))*Ventes!$G$5:$G$104)</f>
        <v/>
      </c>
    </row>
    <row r="10">
      <c r="A10" s="29" t="inlineStr">
        <is>
          <t>Produits à commander</t>
        </is>
      </c>
      <c r="B10" s="33">
        <f>COUNTIF(Produits!$I$5:$I$104,"A COMMANDER")</f>
        <v/>
      </c>
    </row>
    <row r="11">
      <c r="A11" s="29" t="inlineStr">
        <is>
          <t>Valeur du stock</t>
        </is>
      </c>
      <c r="B11" s="11">
        <f>SUMPRODUCT(Produits!$C$5:$C$19,Produits!$H$5:$H$19)</f>
        <v/>
      </c>
    </row>
    <row r="12"/>
    <row r="13"/>
    <row r="14"/>
    <row r="15"/>
    <row r="16"/>
    <row r="17"/>
    <row r="18"/>
    <row r="19"/>
    <row r="20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PRIX DYNAMIQUES</t>
        </is>
      </c>
    </row>
    <row r="2">
      <c r="A2" s="34" t="inlineStr">
        <is>
          <t>Marge cible en D2.</t>
        </is>
      </c>
      <c r="C2" s="29" t="inlineStr">
        <is>
          <t>Marge cible :</t>
        </is>
      </c>
      <c r="D2" s="35" t="n">
        <v>0.25</v>
      </c>
    </row>
    <row r="3"/>
    <row r="4">
      <c r="A4" s="8" t="inlineStr">
        <is>
          <t>SKU</t>
        </is>
      </c>
      <c r="B4" s="8" t="inlineStr">
        <is>
          <t>Produit</t>
        </is>
      </c>
      <c r="C4" s="8" t="inlineStr">
        <is>
          <t>Prix achat</t>
        </is>
      </c>
      <c r="D4" s="8" t="inlineStr">
        <is>
          <t>Marge %</t>
        </is>
      </c>
      <c r="E4" s="8" t="inlineStr">
        <is>
          <t>Prix plancher</t>
        </is>
      </c>
      <c r="F4" s="8" t="inlineStr">
        <is>
          <t>Prix conseillé</t>
        </is>
      </c>
      <c r="G4" s="8" t="inlineStr">
        <is>
          <t>Prix actuel</t>
        </is>
      </c>
      <c r="H4" s="8" t="inlineStr">
        <is>
          <t>Statut</t>
        </is>
      </c>
    </row>
    <row r="5">
      <c r="A5" s="9">
        <f>Produits!A5</f>
        <v/>
      </c>
      <c r="B5" s="9">
        <f>Produits!B5</f>
        <v/>
      </c>
      <c r="C5" s="11">
        <f>Produits!C5</f>
        <v/>
      </c>
      <c r="D5" s="36">
        <f>$D$2</f>
        <v/>
      </c>
      <c r="E5" s="11">
        <f>ROUND(C5*(1+D5),0)</f>
        <v/>
      </c>
      <c r="F5" s="11">
        <f>CEILING(E5,5000)</f>
        <v/>
      </c>
      <c r="G5" s="11">
        <f>Produits!D5</f>
        <v/>
      </c>
      <c r="H5" s="18">
        <f>IF(G5&lt;E5,"SOUS LE PLANCHER",IF(G5&lt;F5,"A AJUSTER","OK"))</f>
        <v/>
      </c>
    </row>
    <row r="6">
      <c r="A6" s="9">
        <f>Produits!A6</f>
        <v/>
      </c>
      <c r="B6" s="9">
        <f>Produits!B6</f>
        <v/>
      </c>
      <c r="C6" s="11">
        <f>Produits!C6</f>
        <v/>
      </c>
      <c r="D6" s="36">
        <f>$D$2</f>
        <v/>
      </c>
      <c r="E6" s="11">
        <f>ROUND(C6*(1+D6),0)</f>
        <v/>
      </c>
      <c r="F6" s="11">
        <f>CEILING(E6,5000)</f>
        <v/>
      </c>
      <c r="G6" s="11">
        <f>Produits!D6</f>
        <v/>
      </c>
      <c r="H6" s="18">
        <f>IF(G6&lt;E6,"SOUS LE PLANCHER",IF(G6&lt;F6,"A AJUSTER","OK"))</f>
        <v/>
      </c>
    </row>
    <row r="7">
      <c r="A7" s="9">
        <f>Produits!A7</f>
        <v/>
      </c>
      <c r="B7" s="9">
        <f>Produits!B7</f>
        <v/>
      </c>
      <c r="C7" s="11">
        <f>Produits!C7</f>
        <v/>
      </c>
      <c r="D7" s="36">
        <f>$D$2</f>
        <v/>
      </c>
      <c r="E7" s="11">
        <f>ROUND(C7*(1+D7),0)</f>
        <v/>
      </c>
      <c r="F7" s="11">
        <f>CEILING(E7,5000)</f>
        <v/>
      </c>
      <c r="G7" s="11">
        <f>Produits!D7</f>
        <v/>
      </c>
      <c r="H7" s="18">
        <f>IF(G7&lt;E7,"SOUS LE PLANCHER",IF(G7&lt;F7,"A AJUSTER","OK"))</f>
        <v/>
      </c>
    </row>
    <row r="8">
      <c r="A8" s="9">
        <f>Produits!A8</f>
        <v/>
      </c>
      <c r="B8" s="9">
        <f>Produits!B8</f>
        <v/>
      </c>
      <c r="C8" s="11">
        <f>Produits!C8</f>
        <v/>
      </c>
      <c r="D8" s="36">
        <f>$D$2</f>
        <v/>
      </c>
      <c r="E8" s="11">
        <f>ROUND(C8*(1+D8),0)</f>
        <v/>
      </c>
      <c r="F8" s="11">
        <f>CEILING(E8,5000)</f>
        <v/>
      </c>
      <c r="G8" s="11">
        <f>Produits!D8</f>
        <v/>
      </c>
      <c r="H8" s="18">
        <f>IF(G8&lt;E8,"SOUS LE PLANCHER",IF(G8&lt;F8,"A AJUSTER","OK"))</f>
        <v/>
      </c>
    </row>
    <row r="9">
      <c r="A9" s="9">
        <f>Produits!A9</f>
        <v/>
      </c>
      <c r="B9" s="9">
        <f>Produits!B9</f>
        <v/>
      </c>
      <c r="C9" s="11">
        <f>Produits!C9</f>
        <v/>
      </c>
      <c r="D9" s="36">
        <f>$D$2</f>
        <v/>
      </c>
      <c r="E9" s="11">
        <f>ROUND(C9*(1+D9),0)</f>
        <v/>
      </c>
      <c r="F9" s="11">
        <f>CEILING(E9,5000)</f>
        <v/>
      </c>
      <c r="G9" s="11">
        <f>Produits!D9</f>
        <v/>
      </c>
      <c r="H9" s="18">
        <f>IF(G9&lt;E9,"SOUS LE PLANCHER",IF(G9&lt;F9,"A AJUSTER","OK"))</f>
        <v/>
      </c>
    </row>
    <row r="10">
      <c r="A10" s="9">
        <f>Produits!A10</f>
        <v/>
      </c>
      <c r="B10" s="9">
        <f>Produits!B10</f>
        <v/>
      </c>
      <c r="C10" s="11">
        <f>Produits!C10</f>
        <v/>
      </c>
      <c r="D10" s="36">
        <f>$D$2</f>
        <v/>
      </c>
      <c r="E10" s="11">
        <f>ROUND(C10*(1+D10),0)</f>
        <v/>
      </c>
      <c r="F10" s="11">
        <f>CEILING(E10,5000)</f>
        <v/>
      </c>
      <c r="G10" s="11">
        <f>Produits!D10</f>
        <v/>
      </c>
      <c r="H10" s="18">
        <f>IF(G10&lt;E10,"SOUS LE PLANCHER",IF(G10&lt;F10,"A AJUSTER","OK"))</f>
        <v/>
      </c>
    </row>
    <row r="11">
      <c r="A11" s="9">
        <f>Produits!A11</f>
        <v/>
      </c>
      <c r="B11" s="9">
        <f>Produits!B11</f>
        <v/>
      </c>
      <c r="C11" s="11">
        <f>Produits!C11</f>
        <v/>
      </c>
      <c r="D11" s="36">
        <f>$D$2</f>
        <v/>
      </c>
      <c r="E11" s="11">
        <f>ROUND(C11*(1+D11),0)</f>
        <v/>
      </c>
      <c r="F11" s="11">
        <f>CEILING(E11,5000)</f>
        <v/>
      </c>
      <c r="G11" s="11">
        <f>Produits!D11</f>
        <v/>
      </c>
      <c r="H11" s="18">
        <f>IF(G11&lt;E11,"SOUS LE PLANCHER",IF(G11&lt;F11,"A AJUSTER","OK"))</f>
        <v/>
      </c>
    </row>
    <row r="12">
      <c r="A12" s="9">
        <f>Produits!A12</f>
        <v/>
      </c>
      <c r="B12" s="9">
        <f>Produits!B12</f>
        <v/>
      </c>
      <c r="C12" s="11">
        <f>Produits!C12</f>
        <v/>
      </c>
      <c r="D12" s="36">
        <f>$D$2</f>
        <v/>
      </c>
      <c r="E12" s="11">
        <f>ROUND(C12*(1+D12),0)</f>
        <v/>
      </c>
      <c r="F12" s="11">
        <f>CEILING(E12,5000)</f>
        <v/>
      </c>
      <c r="G12" s="11">
        <f>Produits!D12</f>
        <v/>
      </c>
      <c r="H12" s="18">
        <f>IF(G12&lt;E12,"SOUS LE PLANCHER",IF(G12&lt;F12,"A AJUSTER","OK"))</f>
        <v/>
      </c>
    </row>
    <row r="13">
      <c r="A13" s="9">
        <f>Produits!A13</f>
        <v/>
      </c>
      <c r="B13" s="9">
        <f>Produits!B13</f>
        <v/>
      </c>
      <c r="C13" s="11">
        <f>Produits!C13</f>
        <v/>
      </c>
      <c r="D13" s="36">
        <f>$D$2</f>
        <v/>
      </c>
      <c r="E13" s="11">
        <f>ROUND(C13*(1+D13),0)</f>
        <v/>
      </c>
      <c r="F13" s="11">
        <f>CEILING(E13,5000)</f>
        <v/>
      </c>
      <c r="G13" s="11">
        <f>Produits!D13</f>
        <v/>
      </c>
      <c r="H13" s="18">
        <f>IF(G13&lt;E13,"SOUS LE PLANCHER",IF(G13&lt;F13,"A AJUSTER","OK"))</f>
        <v/>
      </c>
    </row>
    <row r="14">
      <c r="A14" s="9">
        <f>Produits!A14</f>
        <v/>
      </c>
      <c r="B14" s="9">
        <f>Produits!B14</f>
        <v/>
      </c>
      <c r="C14" s="11">
        <f>Produits!C14</f>
        <v/>
      </c>
      <c r="D14" s="36">
        <f>$D$2</f>
        <v/>
      </c>
      <c r="E14" s="11">
        <f>ROUND(C14*(1+D14),0)</f>
        <v/>
      </c>
      <c r="F14" s="11">
        <f>CEILING(E14,5000)</f>
        <v/>
      </c>
      <c r="G14" s="11">
        <f>Produits!D14</f>
        <v/>
      </c>
      <c r="H14" s="18">
        <f>IF(G14&lt;E14,"SOUS LE PLANCHER",IF(G14&lt;F14,"A AJUSTER","OK"))</f>
        <v/>
      </c>
    </row>
    <row r="15">
      <c r="A15" s="9">
        <f>Produits!A15</f>
        <v/>
      </c>
      <c r="B15" s="9">
        <f>Produits!B15</f>
        <v/>
      </c>
      <c r="C15" s="11">
        <f>Produits!C15</f>
        <v/>
      </c>
      <c r="D15" s="36">
        <f>$D$2</f>
        <v/>
      </c>
      <c r="E15" s="11">
        <f>ROUND(C15*(1+D15),0)</f>
        <v/>
      </c>
      <c r="F15" s="11">
        <f>CEILING(E15,5000)</f>
        <v/>
      </c>
      <c r="G15" s="11">
        <f>Produits!D15</f>
        <v/>
      </c>
      <c r="H15" s="18">
        <f>IF(G15&lt;E15,"SOUS LE PLANCHER",IF(G15&lt;F15,"A AJUSTER","OK"))</f>
        <v/>
      </c>
    </row>
    <row r="16">
      <c r="A16" s="9">
        <f>Produits!A16</f>
        <v/>
      </c>
      <c r="B16" s="9">
        <f>Produits!B16</f>
        <v/>
      </c>
      <c r="C16" s="11">
        <f>Produits!C16</f>
        <v/>
      </c>
      <c r="D16" s="36">
        <f>$D$2</f>
        <v/>
      </c>
      <c r="E16" s="11">
        <f>ROUND(C16*(1+D16),0)</f>
        <v/>
      </c>
      <c r="F16" s="11">
        <f>CEILING(E16,5000)</f>
        <v/>
      </c>
      <c r="G16" s="11">
        <f>Produits!D16</f>
        <v/>
      </c>
      <c r="H16" s="18">
        <f>IF(G16&lt;E16,"SOUS LE PLANCHER",IF(G16&lt;F16,"A AJUSTER","OK"))</f>
        <v/>
      </c>
    </row>
    <row r="17">
      <c r="A17" s="9">
        <f>Produits!A17</f>
        <v/>
      </c>
      <c r="B17" s="9">
        <f>Produits!B17</f>
        <v/>
      </c>
      <c r="C17" s="11">
        <f>Produits!C17</f>
        <v/>
      </c>
      <c r="D17" s="36">
        <f>$D$2</f>
        <v/>
      </c>
      <c r="E17" s="11">
        <f>ROUND(C17*(1+D17),0)</f>
        <v/>
      </c>
      <c r="F17" s="11">
        <f>CEILING(E17,5000)</f>
        <v/>
      </c>
      <c r="G17" s="11">
        <f>Produits!D17</f>
        <v/>
      </c>
      <c r="H17" s="18">
        <f>IF(G17&lt;E17,"SOUS LE PLANCHER",IF(G17&lt;F17,"A AJUSTER","OK"))</f>
        <v/>
      </c>
    </row>
    <row r="18">
      <c r="A18" s="9">
        <f>Produits!A18</f>
        <v/>
      </c>
      <c r="B18" s="9">
        <f>Produits!B18</f>
        <v/>
      </c>
      <c r="C18" s="11">
        <f>Produits!C18</f>
        <v/>
      </c>
      <c r="D18" s="36">
        <f>$D$2</f>
        <v/>
      </c>
      <c r="E18" s="11">
        <f>ROUND(C18*(1+D18),0)</f>
        <v/>
      </c>
      <c r="F18" s="11">
        <f>CEILING(E18,5000)</f>
        <v/>
      </c>
      <c r="G18" s="11">
        <f>Produits!D18</f>
        <v/>
      </c>
      <c r="H18" s="18">
        <f>IF(G18&lt;E18,"SOUS LE PLANCHER",IF(G18&lt;F18,"A AJUSTER","OK"))</f>
        <v/>
      </c>
    </row>
    <row r="19">
      <c r="A19" s="9">
        <f>Produits!A19</f>
        <v/>
      </c>
      <c r="B19" s="9">
        <f>Produits!B19</f>
        <v/>
      </c>
      <c r="C19" s="11">
        <f>Produits!C19</f>
        <v/>
      </c>
      <c r="D19" s="36">
        <f>$D$2</f>
        <v/>
      </c>
      <c r="E19" s="11">
        <f>ROUND(C19*(1+D19),0)</f>
        <v/>
      </c>
      <c r="F19" s="11">
        <f>CEILING(E19,5000)</f>
        <v/>
      </c>
      <c r="G19" s="11">
        <f>Produits!D19</f>
        <v/>
      </c>
      <c r="H19" s="18">
        <f>IF(G19&lt;E19,"SOUS LE PLANCHER",IF(G19&lt;F19,"A AJUSTER","OK"))</f>
        <v/>
      </c>
    </row>
    <row r="20"/>
    <row r="21"/>
    <row r="22"/>
    <row r="23"/>
    <row r="24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8" customWidth="1" min="4" max="4"/>
    <col width="16" customWidth="1" min="5" max="5"/>
    <col width="12" customWidth="1" min="6" max="6"/>
  </cols>
  <sheetData>
    <row r="1">
      <c r="A1" s="1" t="inlineStr">
        <is>
          <t>ALERTES DE STOCK</t>
        </is>
      </c>
    </row>
    <row r="2">
      <c r="A2" s="34" t="inlineStr">
        <is>
          <t>Feuille automatique.</t>
        </is>
      </c>
    </row>
    <row r="3"/>
    <row r="4">
      <c r="A4" s="8" t="inlineStr">
        <is>
          <t>SKU</t>
        </is>
      </c>
      <c r="B4" s="8" t="inlineStr">
        <is>
          <t>Produit</t>
        </is>
      </c>
      <c r="C4" s="8" t="inlineStr">
        <is>
          <t>Stock</t>
        </is>
      </c>
      <c r="D4" s="8" t="inlineStr">
        <is>
          <t>Seuil</t>
        </is>
      </c>
      <c r="E4" s="8" t="inlineStr">
        <is>
          <t>Qté à commander</t>
        </is>
      </c>
      <c r="F4" s="8" t="inlineStr">
        <is>
          <t>Priorité</t>
        </is>
      </c>
    </row>
    <row r="5">
      <c r="A5" s="9">
        <f>IFERROR(INDEX(Produits!$A$5:$A$19,MATCH(1,Produits!$L$5:$L$19,0)),"")</f>
        <v/>
      </c>
      <c r="B5" s="9">
        <f>IF($A5="","",INDEX(Produits!$B:$B,MATCH($A5,Produits!$A:$A,0)))</f>
        <v/>
      </c>
      <c r="C5" s="9">
        <f>IF($A5="","",INDEX(Produits!$H:$H,MATCH($A5,Produits!$A:$A,0)))</f>
        <v/>
      </c>
      <c r="D5" s="9">
        <f>IF($A5="","",INDEX(Produits!$J:$J,MATCH($A5,Produits!$A:$A,0)))</f>
        <v/>
      </c>
      <c r="E5" s="9">
        <f>IF($A5="","",MAX(3,D5*2-C5))</f>
        <v/>
      </c>
      <c r="F5" s="18">
        <f>IF($A5="","",IF(C5=0,"URGENT",IF(C5&lt;=D5/2,"HAUT","NORMAL")))</f>
        <v/>
      </c>
    </row>
    <row r="6">
      <c r="A6" s="9">
        <f>IFERROR(INDEX(Produits!$A$5:$A$19,MATCH(2,Produits!$L$5:$L$19,0)),"")</f>
        <v/>
      </c>
      <c r="B6" s="9">
        <f>IF($A6="","",INDEX(Produits!$B:$B,MATCH($A6,Produits!$A:$A,0)))</f>
        <v/>
      </c>
      <c r="C6" s="9">
        <f>IF($A6="","",INDEX(Produits!$H:$H,MATCH($A6,Produits!$A:$A,0)))</f>
        <v/>
      </c>
      <c r="D6" s="9">
        <f>IF($A6="","",INDEX(Produits!$J:$J,MATCH($A6,Produits!$A:$A,0)))</f>
        <v/>
      </c>
      <c r="E6" s="9">
        <f>IF($A6="","",MAX(3,D6*2-C6))</f>
        <v/>
      </c>
      <c r="F6" s="18">
        <f>IF($A6="","",IF(C6=0,"URGENT",IF(C6&lt;=D6/2,"HAUT","NORMAL")))</f>
        <v/>
      </c>
    </row>
    <row r="7">
      <c r="A7" s="9">
        <f>IFERROR(INDEX(Produits!$A$5:$A$19,MATCH(3,Produits!$L$5:$L$19,0)),"")</f>
        <v/>
      </c>
      <c r="B7" s="9">
        <f>IF($A7="","",INDEX(Produits!$B:$B,MATCH($A7,Produits!$A:$A,0)))</f>
        <v/>
      </c>
      <c r="C7" s="9">
        <f>IF($A7="","",INDEX(Produits!$H:$H,MATCH($A7,Produits!$A:$A,0)))</f>
        <v/>
      </c>
      <c r="D7" s="9">
        <f>IF($A7="","",INDEX(Produits!$J:$J,MATCH($A7,Produits!$A:$A,0)))</f>
        <v/>
      </c>
      <c r="E7" s="9">
        <f>IF($A7="","",MAX(3,D7*2-C7))</f>
        <v/>
      </c>
      <c r="F7" s="18">
        <f>IF($A7="","",IF(C7=0,"URGENT",IF(C7&lt;=D7/2,"HAUT","NORMAL")))</f>
        <v/>
      </c>
    </row>
    <row r="8">
      <c r="A8" s="9">
        <f>IFERROR(INDEX(Produits!$A$5:$A$19,MATCH(4,Produits!$L$5:$L$19,0)),"")</f>
        <v/>
      </c>
      <c r="B8" s="9">
        <f>IF($A8="","",INDEX(Produits!$B:$B,MATCH($A8,Produits!$A:$A,0)))</f>
        <v/>
      </c>
      <c r="C8" s="9">
        <f>IF($A8="","",INDEX(Produits!$H:$H,MATCH($A8,Produits!$A:$A,0)))</f>
        <v/>
      </c>
      <c r="D8" s="9">
        <f>IF($A8="","",INDEX(Produits!$J:$J,MATCH($A8,Produits!$A:$A,0)))</f>
        <v/>
      </c>
      <c r="E8" s="9">
        <f>IF($A8="","",MAX(3,D8*2-C8))</f>
        <v/>
      </c>
      <c r="F8" s="18">
        <f>IF($A8="","",IF(C8=0,"URGENT",IF(C8&lt;=D8/2,"HAUT","NORMAL")))</f>
        <v/>
      </c>
    </row>
    <row r="9">
      <c r="A9" s="9">
        <f>IFERROR(INDEX(Produits!$A$5:$A$19,MATCH(5,Produits!$L$5:$L$19,0)),"")</f>
        <v/>
      </c>
      <c r="B9" s="9">
        <f>IF($A9="","",INDEX(Produits!$B:$B,MATCH($A9,Produits!$A:$A,0)))</f>
        <v/>
      </c>
      <c r="C9" s="9">
        <f>IF($A9="","",INDEX(Produits!$H:$H,MATCH($A9,Produits!$A:$A,0)))</f>
        <v/>
      </c>
      <c r="D9" s="9">
        <f>IF($A9="","",INDEX(Produits!$J:$J,MATCH($A9,Produits!$A:$A,0)))</f>
        <v/>
      </c>
      <c r="E9" s="9">
        <f>IF($A9="","",MAX(3,D9*2-C9))</f>
        <v/>
      </c>
      <c r="F9" s="18">
        <f>IF($A9="","",IF(C9=0,"URGENT",IF(C9&lt;=D9/2,"HAUT","NORMAL")))</f>
        <v/>
      </c>
    </row>
    <row r="10">
      <c r="A10" s="9">
        <f>IFERROR(INDEX(Produits!$A$5:$A$19,MATCH(6,Produits!$L$5:$L$19,0)),"")</f>
        <v/>
      </c>
      <c r="B10" s="9">
        <f>IF($A10="","",INDEX(Produits!$B:$B,MATCH($A10,Produits!$A:$A,0)))</f>
        <v/>
      </c>
      <c r="C10" s="9">
        <f>IF($A10="","",INDEX(Produits!$H:$H,MATCH($A10,Produits!$A:$A,0)))</f>
        <v/>
      </c>
      <c r="D10" s="9">
        <f>IF($A10="","",INDEX(Produits!$J:$J,MATCH($A10,Produits!$A:$A,0)))</f>
        <v/>
      </c>
      <c r="E10" s="9">
        <f>IF($A10="","",MAX(3,D10*2-C10))</f>
        <v/>
      </c>
      <c r="F10" s="18">
        <f>IF($A10="","",IF(C10=0,"URGENT",IF(C10&lt;=D10/2,"HAUT","NORMAL")))</f>
        <v/>
      </c>
    </row>
    <row r="11">
      <c r="A11" s="9">
        <f>IFERROR(INDEX(Produits!$A$5:$A$19,MATCH(7,Produits!$L$5:$L$19,0)),"")</f>
        <v/>
      </c>
      <c r="B11" s="9">
        <f>IF($A11="","",INDEX(Produits!$B:$B,MATCH($A11,Produits!$A:$A,0)))</f>
        <v/>
      </c>
      <c r="C11" s="9">
        <f>IF($A11="","",INDEX(Produits!$H:$H,MATCH($A11,Produits!$A:$A,0)))</f>
        <v/>
      </c>
      <c r="D11" s="9">
        <f>IF($A11="","",INDEX(Produits!$J:$J,MATCH($A11,Produits!$A:$A,0)))</f>
        <v/>
      </c>
      <c r="E11" s="9">
        <f>IF($A11="","",MAX(3,D11*2-C11))</f>
        <v/>
      </c>
      <c r="F11" s="18">
        <f>IF($A11="","",IF(C11=0,"URGENT",IF(C11&lt;=D11/2,"HAUT","NORMAL")))</f>
        <v/>
      </c>
    </row>
    <row r="12">
      <c r="A12" s="9">
        <f>IFERROR(INDEX(Produits!$A$5:$A$19,MATCH(8,Produits!$L$5:$L$19,0)),"")</f>
        <v/>
      </c>
      <c r="B12" s="9">
        <f>IF($A12="","",INDEX(Produits!$B:$B,MATCH($A12,Produits!$A:$A,0)))</f>
        <v/>
      </c>
      <c r="C12" s="9">
        <f>IF($A12="","",INDEX(Produits!$H:$H,MATCH($A12,Produits!$A:$A,0)))</f>
        <v/>
      </c>
      <c r="D12" s="9">
        <f>IF($A12="","",INDEX(Produits!$J:$J,MATCH($A12,Produits!$A:$A,0)))</f>
        <v/>
      </c>
      <c r="E12" s="9">
        <f>IF($A12="","",MAX(3,D12*2-C12))</f>
        <v/>
      </c>
      <c r="F12" s="18">
        <f>IF($A12="","",IF(C12=0,"URGENT",IF(C12&lt;=D12/2,"HAUT","NORMAL")))</f>
        <v/>
      </c>
    </row>
    <row r="13">
      <c r="A13" s="9">
        <f>IFERROR(INDEX(Produits!$A$5:$A$19,MATCH(9,Produits!$L$5:$L$19,0)),"")</f>
        <v/>
      </c>
      <c r="B13" s="9">
        <f>IF($A13="","",INDEX(Produits!$B:$B,MATCH($A13,Produits!$A:$A,0)))</f>
        <v/>
      </c>
      <c r="C13" s="9">
        <f>IF($A13="","",INDEX(Produits!$H:$H,MATCH($A13,Produits!$A:$A,0)))</f>
        <v/>
      </c>
      <c r="D13" s="9">
        <f>IF($A13="","",INDEX(Produits!$J:$J,MATCH($A13,Produits!$A:$A,0)))</f>
        <v/>
      </c>
      <c r="E13" s="9">
        <f>IF($A13="","",MAX(3,D13*2-C13))</f>
        <v/>
      </c>
      <c r="F13" s="18">
        <f>IF($A13="","",IF(C13=0,"URGENT",IF(C13&lt;=D13/2,"HAUT","NORMAL")))</f>
        <v/>
      </c>
    </row>
    <row r="14">
      <c r="A14" s="9">
        <f>IFERROR(INDEX(Produits!$A$5:$A$19,MATCH(10,Produits!$L$5:$L$19,0)),"")</f>
        <v/>
      </c>
      <c r="B14" s="9">
        <f>IF($A14="","",INDEX(Produits!$B:$B,MATCH($A14,Produits!$A:$A,0)))</f>
        <v/>
      </c>
      <c r="C14" s="9">
        <f>IF($A14="","",INDEX(Produits!$H:$H,MATCH($A14,Produits!$A:$A,0)))</f>
        <v/>
      </c>
      <c r="D14" s="9">
        <f>IF($A14="","",INDEX(Produits!$J:$J,MATCH($A14,Produits!$A:$A,0)))</f>
        <v/>
      </c>
      <c r="E14" s="9">
        <f>IF($A14="","",MAX(3,D14*2-C14))</f>
        <v/>
      </c>
      <c r="F14" s="18">
        <f>IF($A14="","",IF(C14=0,"URGENT",IF(C14&lt;=D14/2,"HAUT","NORMAL")))</f>
        <v/>
      </c>
    </row>
    <row r="15">
      <c r="A15" s="9">
        <f>IFERROR(INDEX(Produits!$A$5:$A$19,MATCH(11,Produits!$L$5:$L$19,0)),"")</f>
        <v/>
      </c>
      <c r="B15" s="9">
        <f>IF($A15="","",INDEX(Produits!$B:$B,MATCH($A15,Produits!$A:$A,0)))</f>
        <v/>
      </c>
      <c r="C15" s="9">
        <f>IF($A15="","",INDEX(Produits!$H:$H,MATCH($A15,Produits!$A:$A,0)))</f>
        <v/>
      </c>
      <c r="D15" s="9">
        <f>IF($A15="","",INDEX(Produits!$J:$J,MATCH($A15,Produits!$A:$A,0)))</f>
        <v/>
      </c>
      <c r="E15" s="9">
        <f>IF($A15="","",MAX(3,D15*2-C15))</f>
        <v/>
      </c>
      <c r="F15" s="18">
        <f>IF($A15="","",IF(C15=0,"URGENT",IF(C15&lt;=D15/2,"HAUT","NORMAL")))</f>
        <v/>
      </c>
    </row>
    <row r="16">
      <c r="A16" s="9">
        <f>IFERROR(INDEX(Produits!$A$5:$A$19,MATCH(12,Produits!$L$5:$L$19,0)),"")</f>
        <v/>
      </c>
      <c r="B16" s="9">
        <f>IF($A16="","",INDEX(Produits!$B:$B,MATCH($A16,Produits!$A:$A,0)))</f>
        <v/>
      </c>
      <c r="C16" s="9">
        <f>IF($A16="","",INDEX(Produits!$H:$H,MATCH($A16,Produits!$A:$A,0)))</f>
        <v/>
      </c>
      <c r="D16" s="9">
        <f>IF($A16="","",INDEX(Produits!$J:$J,MATCH($A16,Produits!$A:$A,0)))</f>
        <v/>
      </c>
      <c r="E16" s="9">
        <f>IF($A16="","",MAX(3,D16*2-C16))</f>
        <v/>
      </c>
      <c r="F16" s="18">
        <f>IF($A16="","",IF(C16=0,"URGENT",IF(C16&lt;=D16/2,"HAUT","NORMAL")))</f>
        <v/>
      </c>
    </row>
    <row r="17">
      <c r="A17" s="9">
        <f>IFERROR(INDEX(Produits!$A$5:$A$19,MATCH(13,Produits!$L$5:$L$19,0)),"")</f>
        <v/>
      </c>
      <c r="B17" s="9">
        <f>IF($A17="","",INDEX(Produits!$B:$B,MATCH($A17,Produits!$A:$A,0)))</f>
        <v/>
      </c>
      <c r="C17" s="9">
        <f>IF($A17="","",INDEX(Produits!$H:$H,MATCH($A17,Produits!$A:$A,0)))</f>
        <v/>
      </c>
      <c r="D17" s="9">
        <f>IF($A17="","",INDEX(Produits!$J:$J,MATCH($A17,Produits!$A:$A,0)))</f>
        <v/>
      </c>
      <c r="E17" s="9">
        <f>IF($A17="","",MAX(3,D17*2-C17))</f>
        <v/>
      </c>
      <c r="F17" s="18">
        <f>IF($A17="","",IF(C17=0,"URGENT",IF(C17&lt;=D17/2,"HAUT","NORMAL")))</f>
        <v/>
      </c>
    </row>
    <row r="18">
      <c r="A18" s="9">
        <f>IFERROR(INDEX(Produits!$A$5:$A$19,MATCH(14,Produits!$L$5:$L$19,0)),"")</f>
        <v/>
      </c>
      <c r="B18" s="9">
        <f>IF($A18="","",INDEX(Produits!$B:$B,MATCH($A18,Produits!$A:$A,0)))</f>
        <v/>
      </c>
      <c r="C18" s="9">
        <f>IF($A18="","",INDEX(Produits!$H:$H,MATCH($A18,Produits!$A:$A,0)))</f>
        <v/>
      </c>
      <c r="D18" s="9">
        <f>IF($A18="","",INDEX(Produits!$J:$J,MATCH($A18,Produits!$A:$A,0)))</f>
        <v/>
      </c>
      <c r="E18" s="9">
        <f>IF($A18="","",MAX(3,D18*2-C18))</f>
        <v/>
      </c>
      <c r="F18" s="18">
        <f>IF($A18="","",IF(C18=0,"URGENT",IF(C18&lt;=D18/2,"HAUT","NORMAL")))</f>
        <v/>
      </c>
    </row>
    <row r="19">
      <c r="A19" s="9">
        <f>IFERROR(INDEX(Produits!$A$5:$A$19,MATCH(15,Produits!$L$5:$L$19,0)),"")</f>
        <v/>
      </c>
      <c r="B19" s="9">
        <f>IF($A19="","",INDEX(Produits!$B:$B,MATCH($A19,Produits!$A:$A,0)))</f>
        <v/>
      </c>
      <c r="C19" s="9">
        <f>IF($A19="","",INDEX(Produits!$H:$H,MATCH($A19,Produits!$A:$A,0)))</f>
        <v/>
      </c>
      <c r="D19" s="9">
        <f>IF($A19="","",INDEX(Produits!$J:$J,MATCH($A19,Produits!$A:$A,0)))</f>
        <v/>
      </c>
      <c r="E19" s="9">
        <f>IF($A19="","",MAX(3,D19*2-C19))</f>
        <v/>
      </c>
      <c r="F19" s="18">
        <f>IF($A19="","",IF(C19=0,"URGENT",IF(C19&lt;=D19/2,"HAUT","NORMAL")))</f>
        <v/>
      </c>
    </row>
    <row r="20">
      <c r="A20" s="9">
        <f>IFERROR(INDEX(Produits!$A$5:$A$19,MATCH(16,Produits!$L$5:$L$19,0)),"")</f>
        <v/>
      </c>
      <c r="B20" s="9">
        <f>IF($A20="","",INDEX(Produits!$B:$B,MATCH($A20,Produits!$A:$A,0)))</f>
        <v/>
      </c>
      <c r="C20" s="9">
        <f>IF($A20="","",INDEX(Produits!$H:$H,MATCH($A20,Produits!$A:$A,0)))</f>
        <v/>
      </c>
      <c r="D20" s="9">
        <f>IF($A20="","",INDEX(Produits!$J:$J,MATCH($A20,Produits!$A:$A,0)))</f>
        <v/>
      </c>
      <c r="E20" s="9">
        <f>IF($A20="","",MAX(3,D20*2-C20))</f>
        <v/>
      </c>
      <c r="F20" s="18">
        <f>IF($A20="","",IF(C20=0,"URGENT",IF(C20&lt;=D20/2,"HAUT","NORMAL")))</f>
        <v/>
      </c>
    </row>
    <row r="21">
      <c r="A21" s="9">
        <f>IFERROR(INDEX(Produits!$A$5:$A$19,MATCH(17,Produits!$L$5:$L$19,0)),"")</f>
        <v/>
      </c>
      <c r="B21" s="9">
        <f>IF($A21="","",INDEX(Produits!$B:$B,MATCH($A21,Produits!$A:$A,0)))</f>
        <v/>
      </c>
      <c r="C21" s="9">
        <f>IF($A21="","",INDEX(Produits!$H:$H,MATCH($A21,Produits!$A:$A,0)))</f>
        <v/>
      </c>
      <c r="D21" s="9">
        <f>IF($A21="","",INDEX(Produits!$J:$J,MATCH($A21,Produits!$A:$A,0)))</f>
        <v/>
      </c>
      <c r="E21" s="9">
        <f>IF($A21="","",MAX(3,D21*2-C21))</f>
        <v/>
      </c>
      <c r="F21" s="18">
        <f>IF($A21="","",IF(C21=0,"URGENT",IF(C21&lt;=D21/2,"HAUT","NORMAL")))</f>
        <v/>
      </c>
    </row>
    <row r="22">
      <c r="A22" s="9">
        <f>IFERROR(INDEX(Produits!$A$5:$A$19,MATCH(18,Produits!$L$5:$L$19,0)),"")</f>
        <v/>
      </c>
      <c r="B22" s="9">
        <f>IF($A22="","",INDEX(Produits!$B:$B,MATCH($A22,Produits!$A:$A,0)))</f>
        <v/>
      </c>
      <c r="C22" s="9">
        <f>IF($A22="","",INDEX(Produits!$H:$H,MATCH($A22,Produits!$A:$A,0)))</f>
        <v/>
      </c>
      <c r="D22" s="9">
        <f>IF($A22="","",INDEX(Produits!$J:$J,MATCH($A22,Produits!$A:$A,0)))</f>
        <v/>
      </c>
      <c r="E22" s="9">
        <f>IF($A22="","",MAX(3,D22*2-C22))</f>
        <v/>
      </c>
      <c r="F22" s="18">
        <f>IF($A22="","",IF(C22=0,"URGENT",IF(C22&lt;=D22/2,"HAUT","NORMAL")))</f>
        <v/>
      </c>
    </row>
    <row r="23">
      <c r="A23" s="9">
        <f>IFERROR(INDEX(Produits!$A$5:$A$19,MATCH(19,Produits!$L$5:$L$19,0)),"")</f>
        <v/>
      </c>
      <c r="B23" s="9">
        <f>IF($A23="","",INDEX(Produits!$B:$B,MATCH($A23,Produits!$A:$A,0)))</f>
        <v/>
      </c>
      <c r="C23" s="9">
        <f>IF($A23="","",INDEX(Produits!$H:$H,MATCH($A23,Produits!$A:$A,0)))</f>
        <v/>
      </c>
      <c r="D23" s="9">
        <f>IF($A23="","",INDEX(Produits!$J:$J,MATCH($A23,Produits!$A:$A,0)))</f>
        <v/>
      </c>
      <c r="E23" s="9">
        <f>IF($A23="","",MAX(3,D23*2-C23))</f>
        <v/>
      </c>
      <c r="F23" s="18">
        <f>IF($A23="","",IF(C23=0,"URGENT",IF(C23&lt;=D23/2,"HAUT","NORMAL")))</f>
        <v/>
      </c>
    </row>
    <row r="24">
      <c r="A24" s="9">
        <f>IFERROR(INDEX(Produits!$A$5:$A$19,MATCH(20,Produits!$L$5:$L$19,0)),"")</f>
        <v/>
      </c>
      <c r="B24" s="9">
        <f>IF($A24="","",INDEX(Produits!$B:$B,MATCH($A24,Produits!$A:$A,0)))</f>
        <v/>
      </c>
      <c r="C24" s="9">
        <f>IF($A24="","",INDEX(Produits!$H:$H,MATCH($A24,Produits!$A:$A,0)))</f>
        <v/>
      </c>
      <c r="D24" s="9">
        <f>IF($A24="","",INDEX(Produits!$J:$J,MATCH($A24,Produits!$A:$A,0)))</f>
        <v/>
      </c>
      <c r="E24" s="9">
        <f>IF($A24="","",MAX(3,D24*2-C24))</f>
        <v/>
      </c>
      <c r="F24" s="18">
        <f>IF($A24="","",IF(C24=0,"URGENT",IF(C24&lt;=D24/2,"HAUT","NORMAL")))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12" customWidth="1" min="4" max="4"/>
    <col width="14" customWidth="1" min="5" max="5"/>
    <col width="14" customWidth="1" min="6" max="6"/>
    <col width="10" customWidth="1" min="7" max="7"/>
    <col hidden="1" width="13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TOP PRODUITS — Classement par CA</t>
        </is>
      </c>
    </row>
    <row r="2">
      <c r="A2" s="2" t="inlineStr">
        <is>
          <t>Tri automatique par chiffre d'affaires décroissant.</t>
        </is>
      </c>
    </row>
    <row r="3"/>
    <row r="4">
      <c r="A4" s="8" t="inlineStr">
        <is>
          <t>Rang</t>
        </is>
      </c>
      <c r="B4" s="8" t="inlineStr">
        <is>
          <t>SKU</t>
        </is>
      </c>
      <c r="C4" s="8" t="inlineStr">
        <is>
          <t>Produit</t>
        </is>
      </c>
      <c r="D4" s="8" t="inlineStr">
        <is>
          <t>Qté vendue</t>
        </is>
      </c>
      <c r="E4" s="8" t="inlineStr">
        <is>
          <t>CA généré</t>
        </is>
      </c>
      <c r="F4" s="8" t="inlineStr">
        <is>
          <t>Marge totale</t>
        </is>
      </c>
      <c r="G4" s="8" t="inlineStr">
        <is>
          <t>Marge %</t>
        </is>
      </c>
    </row>
    <row r="5">
      <c r="A5" s="18" t="n">
        <v>1</v>
      </c>
      <c r="B5" s="9">
        <f>IFERROR(INDEX($I$5:$I$19,MATCH($E5,$J$5:$J$19,0)),"")</f>
        <v/>
      </c>
      <c r="C5" s="9">
        <f>IFERROR(INDEX(Produits!$B:$B,MATCH($B5,Produits!$A:$A,0)),"")</f>
        <v/>
      </c>
      <c r="D5" s="18">
        <f>IFERROR(INDEX($K$5:$K$19,MATCH($E5,$J$5:$J$19,0)),0)</f>
        <v/>
      </c>
      <c r="E5" s="11">
        <f>LARGE($J$5:$J$19,1)</f>
        <v/>
      </c>
      <c r="F5" s="11">
        <f>IFERROR(INDEX($L$5:$L$19,MATCH($E5,$J$5:$J$19,0)),0)</f>
        <v/>
      </c>
      <c r="G5" s="37">
        <f>IF(OR($E5=0,$E5=""),"",$F5/$E5)</f>
        <v/>
      </c>
      <c r="I5">
        <f>Produits!A5</f>
        <v/>
      </c>
      <c r="J5">
        <f>SUMIF(Ventes!$C$5:$C$104,$I5,Ventes!$F$5:$F$104)</f>
        <v/>
      </c>
      <c r="K5">
        <f>SUMIF(Ventes!$C$5:$C$104,$I5,Ventes!$D$5:$D$104)</f>
        <v/>
      </c>
      <c r="L5">
        <f>SUMIF(Ventes!$C$5:$C$104,$I5,Ventes!$G$5:$G$104)</f>
        <v/>
      </c>
    </row>
    <row r="6">
      <c r="A6" s="18" t="n">
        <v>2</v>
      </c>
      <c r="B6" s="9">
        <f>IFERROR(INDEX($I$5:$I$19,MATCH($E6,$J$5:$J$19,0)),"")</f>
        <v/>
      </c>
      <c r="C6" s="9">
        <f>IFERROR(INDEX(Produits!$B:$B,MATCH($B6,Produits!$A:$A,0)),"")</f>
        <v/>
      </c>
      <c r="D6" s="18">
        <f>IFERROR(INDEX($K$5:$K$19,MATCH($E6,$J$5:$J$19,0)),0)</f>
        <v/>
      </c>
      <c r="E6" s="11">
        <f>LARGE($J$5:$J$19,2)</f>
        <v/>
      </c>
      <c r="F6" s="11">
        <f>IFERROR(INDEX($L$5:$L$19,MATCH($E6,$J$5:$J$19,0)),0)</f>
        <v/>
      </c>
      <c r="G6" s="37">
        <f>IF(OR($E6=0,$E6=""),"",$F6/$E6)</f>
        <v/>
      </c>
      <c r="I6">
        <f>Produits!A6</f>
        <v/>
      </c>
      <c r="J6">
        <f>SUMIF(Ventes!$C$5:$C$104,$I6,Ventes!$F$5:$F$104)</f>
        <v/>
      </c>
      <c r="K6">
        <f>SUMIF(Ventes!$C$5:$C$104,$I6,Ventes!$D$5:$D$104)</f>
        <v/>
      </c>
      <c r="L6">
        <f>SUMIF(Ventes!$C$5:$C$104,$I6,Ventes!$G$5:$G$104)</f>
        <v/>
      </c>
    </row>
    <row r="7">
      <c r="A7" s="18" t="n">
        <v>3</v>
      </c>
      <c r="B7" s="9">
        <f>IFERROR(INDEX($I$5:$I$19,MATCH($E7,$J$5:$J$19,0)),"")</f>
        <v/>
      </c>
      <c r="C7" s="9">
        <f>IFERROR(INDEX(Produits!$B:$B,MATCH($B7,Produits!$A:$A,0)),"")</f>
        <v/>
      </c>
      <c r="D7" s="18">
        <f>IFERROR(INDEX($K$5:$K$19,MATCH($E7,$J$5:$J$19,0)),0)</f>
        <v/>
      </c>
      <c r="E7" s="11">
        <f>LARGE($J$5:$J$19,3)</f>
        <v/>
      </c>
      <c r="F7" s="11">
        <f>IFERROR(INDEX($L$5:$L$19,MATCH($E7,$J$5:$J$19,0)),0)</f>
        <v/>
      </c>
      <c r="G7" s="37">
        <f>IF(OR($E7=0,$E7=""),"",$F7/$E7)</f>
        <v/>
      </c>
      <c r="I7">
        <f>Produits!A7</f>
        <v/>
      </c>
      <c r="J7">
        <f>SUMIF(Ventes!$C$5:$C$104,$I7,Ventes!$F$5:$F$104)</f>
        <v/>
      </c>
      <c r="K7">
        <f>SUMIF(Ventes!$C$5:$C$104,$I7,Ventes!$D$5:$D$104)</f>
        <v/>
      </c>
      <c r="L7">
        <f>SUMIF(Ventes!$C$5:$C$104,$I7,Ventes!$G$5:$G$104)</f>
        <v/>
      </c>
    </row>
    <row r="8">
      <c r="A8" s="18" t="n">
        <v>4</v>
      </c>
      <c r="B8" s="9">
        <f>IFERROR(INDEX($I$5:$I$19,MATCH($E8,$J$5:$J$19,0)),"")</f>
        <v/>
      </c>
      <c r="C8" s="9">
        <f>IFERROR(INDEX(Produits!$B:$B,MATCH($B8,Produits!$A:$A,0)),"")</f>
        <v/>
      </c>
      <c r="D8" s="18">
        <f>IFERROR(INDEX($K$5:$K$19,MATCH($E8,$J$5:$J$19,0)),0)</f>
        <v/>
      </c>
      <c r="E8" s="11">
        <f>LARGE($J$5:$J$19,4)</f>
        <v/>
      </c>
      <c r="F8" s="11">
        <f>IFERROR(INDEX($L$5:$L$19,MATCH($E8,$J$5:$J$19,0)),0)</f>
        <v/>
      </c>
      <c r="G8" s="37">
        <f>IF(OR($E8=0,$E8=""),"",$F8/$E8)</f>
        <v/>
      </c>
      <c r="I8">
        <f>Produits!A8</f>
        <v/>
      </c>
      <c r="J8">
        <f>SUMIF(Ventes!$C$5:$C$104,$I8,Ventes!$F$5:$F$104)</f>
        <v/>
      </c>
      <c r="K8">
        <f>SUMIF(Ventes!$C$5:$C$104,$I8,Ventes!$D$5:$D$104)</f>
        <v/>
      </c>
      <c r="L8">
        <f>SUMIF(Ventes!$C$5:$C$104,$I8,Ventes!$G$5:$G$104)</f>
        <v/>
      </c>
    </row>
    <row r="9">
      <c r="A9" s="18" t="n">
        <v>5</v>
      </c>
      <c r="B9" s="9">
        <f>IFERROR(INDEX($I$5:$I$19,MATCH($E9,$J$5:$J$19,0)),"")</f>
        <v/>
      </c>
      <c r="C9" s="9">
        <f>IFERROR(INDEX(Produits!$B:$B,MATCH($B9,Produits!$A:$A,0)),"")</f>
        <v/>
      </c>
      <c r="D9" s="18">
        <f>IFERROR(INDEX($K$5:$K$19,MATCH($E9,$J$5:$J$19,0)),0)</f>
        <v/>
      </c>
      <c r="E9" s="11">
        <f>LARGE($J$5:$J$19,5)</f>
        <v/>
      </c>
      <c r="F9" s="11">
        <f>IFERROR(INDEX($L$5:$L$19,MATCH($E9,$J$5:$J$19,0)),0)</f>
        <v/>
      </c>
      <c r="G9" s="37">
        <f>IF(OR($E9=0,$E9=""),"",$F9/$E9)</f>
        <v/>
      </c>
      <c r="I9">
        <f>Produits!A9</f>
        <v/>
      </c>
      <c r="J9">
        <f>SUMIF(Ventes!$C$5:$C$104,$I9,Ventes!$F$5:$F$104)</f>
        <v/>
      </c>
      <c r="K9">
        <f>SUMIF(Ventes!$C$5:$C$104,$I9,Ventes!$D$5:$D$104)</f>
        <v/>
      </c>
      <c r="L9">
        <f>SUMIF(Ventes!$C$5:$C$104,$I9,Ventes!$G$5:$G$104)</f>
        <v/>
      </c>
    </row>
    <row r="10">
      <c r="A10" s="18" t="n">
        <v>6</v>
      </c>
      <c r="B10" s="9">
        <f>IFERROR(INDEX($I$5:$I$19,MATCH($E10,$J$5:$J$19,0)),"")</f>
        <v/>
      </c>
      <c r="C10" s="9">
        <f>IFERROR(INDEX(Produits!$B:$B,MATCH($B10,Produits!$A:$A,0)),"")</f>
        <v/>
      </c>
      <c r="D10" s="18">
        <f>IFERROR(INDEX($K$5:$K$19,MATCH($E10,$J$5:$J$19,0)),0)</f>
        <v/>
      </c>
      <c r="E10" s="11">
        <f>LARGE($J$5:$J$19,6)</f>
        <v/>
      </c>
      <c r="F10" s="11">
        <f>IFERROR(INDEX($L$5:$L$19,MATCH($E10,$J$5:$J$19,0)),0)</f>
        <v/>
      </c>
      <c r="G10" s="37">
        <f>IF(OR($E10=0,$E10=""),"",$F10/$E10)</f>
        <v/>
      </c>
      <c r="I10">
        <f>Produits!A10</f>
        <v/>
      </c>
      <c r="J10">
        <f>SUMIF(Ventes!$C$5:$C$104,$I10,Ventes!$F$5:$F$104)</f>
        <v/>
      </c>
      <c r="K10">
        <f>SUMIF(Ventes!$C$5:$C$104,$I10,Ventes!$D$5:$D$104)</f>
        <v/>
      </c>
      <c r="L10">
        <f>SUMIF(Ventes!$C$5:$C$104,$I10,Ventes!$G$5:$G$104)</f>
        <v/>
      </c>
    </row>
    <row r="11">
      <c r="A11" s="18" t="n">
        <v>7</v>
      </c>
      <c r="B11" s="9">
        <f>IFERROR(INDEX($I$5:$I$19,MATCH($E11,$J$5:$J$19,0)),"")</f>
        <v/>
      </c>
      <c r="C11" s="9">
        <f>IFERROR(INDEX(Produits!$B:$B,MATCH($B11,Produits!$A:$A,0)),"")</f>
        <v/>
      </c>
      <c r="D11" s="18">
        <f>IFERROR(INDEX($K$5:$K$19,MATCH($E11,$J$5:$J$19,0)),0)</f>
        <v/>
      </c>
      <c r="E11" s="11">
        <f>LARGE($J$5:$J$19,7)</f>
        <v/>
      </c>
      <c r="F11" s="11">
        <f>IFERROR(INDEX($L$5:$L$19,MATCH($E11,$J$5:$J$19,0)),0)</f>
        <v/>
      </c>
      <c r="G11" s="37">
        <f>IF(OR($E11=0,$E11=""),"",$F11/$E11)</f>
        <v/>
      </c>
      <c r="I11">
        <f>Produits!A11</f>
        <v/>
      </c>
      <c r="J11">
        <f>SUMIF(Ventes!$C$5:$C$104,$I11,Ventes!$F$5:$F$104)</f>
        <v/>
      </c>
      <c r="K11">
        <f>SUMIF(Ventes!$C$5:$C$104,$I11,Ventes!$D$5:$D$104)</f>
        <v/>
      </c>
      <c r="L11">
        <f>SUMIF(Ventes!$C$5:$C$104,$I11,Ventes!$G$5:$G$104)</f>
        <v/>
      </c>
    </row>
    <row r="12">
      <c r="A12" s="18" t="n">
        <v>8</v>
      </c>
      <c r="B12" s="9">
        <f>IFERROR(INDEX($I$5:$I$19,MATCH($E12,$J$5:$J$19,0)),"")</f>
        <v/>
      </c>
      <c r="C12" s="9">
        <f>IFERROR(INDEX(Produits!$B:$B,MATCH($B12,Produits!$A:$A,0)),"")</f>
        <v/>
      </c>
      <c r="D12" s="18">
        <f>IFERROR(INDEX($K$5:$K$19,MATCH($E12,$J$5:$J$19,0)),0)</f>
        <v/>
      </c>
      <c r="E12" s="11">
        <f>LARGE($J$5:$J$19,8)</f>
        <v/>
      </c>
      <c r="F12" s="11">
        <f>IFERROR(INDEX($L$5:$L$19,MATCH($E12,$J$5:$J$19,0)),0)</f>
        <v/>
      </c>
      <c r="G12" s="37">
        <f>IF(OR($E12=0,$E12=""),"",$F12/$E12)</f>
        <v/>
      </c>
      <c r="I12">
        <f>Produits!A12</f>
        <v/>
      </c>
      <c r="J12">
        <f>SUMIF(Ventes!$C$5:$C$104,$I12,Ventes!$F$5:$F$104)</f>
        <v/>
      </c>
      <c r="K12">
        <f>SUMIF(Ventes!$C$5:$C$104,$I12,Ventes!$D$5:$D$104)</f>
        <v/>
      </c>
      <c r="L12">
        <f>SUMIF(Ventes!$C$5:$C$104,$I12,Ventes!$G$5:$G$104)</f>
        <v/>
      </c>
    </row>
    <row r="13">
      <c r="A13" s="18" t="n">
        <v>9</v>
      </c>
      <c r="B13" s="9">
        <f>IFERROR(INDEX($I$5:$I$19,MATCH($E13,$J$5:$J$19,0)),"")</f>
        <v/>
      </c>
      <c r="C13" s="9">
        <f>IFERROR(INDEX(Produits!$B:$B,MATCH($B13,Produits!$A:$A,0)),"")</f>
        <v/>
      </c>
      <c r="D13" s="18">
        <f>IFERROR(INDEX($K$5:$K$19,MATCH($E13,$J$5:$J$19,0)),0)</f>
        <v/>
      </c>
      <c r="E13" s="11">
        <f>LARGE($J$5:$J$19,9)</f>
        <v/>
      </c>
      <c r="F13" s="11">
        <f>IFERROR(INDEX($L$5:$L$19,MATCH($E13,$J$5:$J$19,0)),0)</f>
        <v/>
      </c>
      <c r="G13" s="37">
        <f>IF(OR($E13=0,$E13=""),"",$F13/$E13)</f>
        <v/>
      </c>
      <c r="I13">
        <f>Produits!A13</f>
        <v/>
      </c>
      <c r="J13">
        <f>SUMIF(Ventes!$C$5:$C$104,$I13,Ventes!$F$5:$F$104)</f>
        <v/>
      </c>
      <c r="K13">
        <f>SUMIF(Ventes!$C$5:$C$104,$I13,Ventes!$D$5:$D$104)</f>
        <v/>
      </c>
      <c r="L13">
        <f>SUMIF(Ventes!$C$5:$C$104,$I13,Ventes!$G$5:$G$104)</f>
        <v/>
      </c>
    </row>
    <row r="14">
      <c r="A14" s="18" t="n">
        <v>10</v>
      </c>
      <c r="B14" s="9">
        <f>IFERROR(INDEX($I$5:$I$19,MATCH($E14,$J$5:$J$19,0)),"")</f>
        <v/>
      </c>
      <c r="C14" s="9">
        <f>IFERROR(INDEX(Produits!$B:$B,MATCH($B14,Produits!$A:$A,0)),"")</f>
        <v/>
      </c>
      <c r="D14" s="18">
        <f>IFERROR(INDEX($K$5:$K$19,MATCH($E14,$J$5:$J$19,0)),0)</f>
        <v/>
      </c>
      <c r="E14" s="11">
        <f>LARGE($J$5:$J$19,10)</f>
        <v/>
      </c>
      <c r="F14" s="11">
        <f>IFERROR(INDEX($L$5:$L$19,MATCH($E14,$J$5:$J$19,0)),0)</f>
        <v/>
      </c>
      <c r="G14" s="37">
        <f>IF(OR($E14=0,$E14=""),"",$F14/$E14)</f>
        <v/>
      </c>
      <c r="I14">
        <f>Produits!A14</f>
        <v/>
      </c>
      <c r="J14">
        <f>SUMIF(Ventes!$C$5:$C$104,$I14,Ventes!$F$5:$F$104)</f>
        <v/>
      </c>
      <c r="K14">
        <f>SUMIF(Ventes!$C$5:$C$104,$I14,Ventes!$D$5:$D$104)</f>
        <v/>
      </c>
      <c r="L14">
        <f>SUMIF(Ventes!$C$5:$C$104,$I14,Ventes!$G$5:$G$104)</f>
        <v/>
      </c>
    </row>
    <row r="15">
      <c r="A15" s="18" t="n">
        <v>11</v>
      </c>
      <c r="B15" s="9">
        <f>IFERROR(INDEX($I$5:$I$19,MATCH($E15,$J$5:$J$19,0)),"")</f>
        <v/>
      </c>
      <c r="C15" s="9">
        <f>IFERROR(INDEX(Produits!$B:$B,MATCH($B15,Produits!$A:$A,0)),"")</f>
        <v/>
      </c>
      <c r="D15" s="18">
        <f>IFERROR(INDEX($K$5:$K$19,MATCH($E15,$J$5:$J$19,0)),0)</f>
        <v/>
      </c>
      <c r="E15" s="11">
        <f>LARGE($J$5:$J$19,11)</f>
        <v/>
      </c>
      <c r="F15" s="11">
        <f>IFERROR(INDEX($L$5:$L$19,MATCH($E15,$J$5:$J$19,0)),0)</f>
        <v/>
      </c>
      <c r="G15" s="37">
        <f>IF(OR($E15=0,$E15=""),"",$F15/$E15)</f>
        <v/>
      </c>
      <c r="I15">
        <f>Produits!A15</f>
        <v/>
      </c>
      <c r="J15">
        <f>SUMIF(Ventes!$C$5:$C$104,$I15,Ventes!$F$5:$F$104)</f>
        <v/>
      </c>
      <c r="K15">
        <f>SUMIF(Ventes!$C$5:$C$104,$I15,Ventes!$D$5:$D$104)</f>
        <v/>
      </c>
      <c r="L15">
        <f>SUMIF(Ventes!$C$5:$C$104,$I15,Ventes!$G$5:$G$104)</f>
        <v/>
      </c>
    </row>
    <row r="16">
      <c r="A16" s="18" t="n">
        <v>12</v>
      </c>
      <c r="B16" s="9">
        <f>IFERROR(INDEX($I$5:$I$19,MATCH($E16,$J$5:$J$19,0)),"")</f>
        <v/>
      </c>
      <c r="C16" s="9">
        <f>IFERROR(INDEX(Produits!$B:$B,MATCH($B16,Produits!$A:$A,0)),"")</f>
        <v/>
      </c>
      <c r="D16" s="18">
        <f>IFERROR(INDEX($K$5:$K$19,MATCH($E16,$J$5:$J$19,0)),0)</f>
        <v/>
      </c>
      <c r="E16" s="11">
        <f>LARGE($J$5:$J$19,12)</f>
        <v/>
      </c>
      <c r="F16" s="11">
        <f>IFERROR(INDEX($L$5:$L$19,MATCH($E16,$J$5:$J$19,0)),0)</f>
        <v/>
      </c>
      <c r="G16" s="37">
        <f>IF(OR($E16=0,$E16=""),"",$F16/$E16)</f>
        <v/>
      </c>
      <c r="I16">
        <f>Produits!A16</f>
        <v/>
      </c>
      <c r="J16">
        <f>SUMIF(Ventes!$C$5:$C$104,$I16,Ventes!$F$5:$F$104)</f>
        <v/>
      </c>
      <c r="K16">
        <f>SUMIF(Ventes!$C$5:$C$104,$I16,Ventes!$D$5:$D$104)</f>
        <v/>
      </c>
      <c r="L16">
        <f>SUMIF(Ventes!$C$5:$C$104,$I16,Ventes!$G$5:$G$104)</f>
        <v/>
      </c>
    </row>
    <row r="17">
      <c r="A17" s="18" t="n">
        <v>13</v>
      </c>
      <c r="B17" s="9">
        <f>IFERROR(INDEX($I$5:$I$19,MATCH($E17,$J$5:$J$19,0)),"")</f>
        <v/>
      </c>
      <c r="C17" s="9">
        <f>IFERROR(INDEX(Produits!$B:$B,MATCH($B17,Produits!$A:$A,0)),"")</f>
        <v/>
      </c>
      <c r="D17" s="18">
        <f>IFERROR(INDEX($K$5:$K$19,MATCH($E17,$J$5:$J$19,0)),0)</f>
        <v/>
      </c>
      <c r="E17" s="11">
        <f>LARGE($J$5:$J$19,13)</f>
        <v/>
      </c>
      <c r="F17" s="11">
        <f>IFERROR(INDEX($L$5:$L$19,MATCH($E17,$J$5:$J$19,0)),0)</f>
        <v/>
      </c>
      <c r="G17" s="37">
        <f>IF(OR($E17=0,$E17=""),"",$F17/$E17)</f>
        <v/>
      </c>
      <c r="I17">
        <f>Produits!A17</f>
        <v/>
      </c>
      <c r="J17">
        <f>SUMIF(Ventes!$C$5:$C$104,$I17,Ventes!$F$5:$F$104)</f>
        <v/>
      </c>
      <c r="K17">
        <f>SUMIF(Ventes!$C$5:$C$104,$I17,Ventes!$D$5:$D$104)</f>
        <v/>
      </c>
      <c r="L17">
        <f>SUMIF(Ventes!$C$5:$C$104,$I17,Ventes!$G$5:$G$104)</f>
        <v/>
      </c>
    </row>
    <row r="18">
      <c r="A18" s="18" t="n">
        <v>14</v>
      </c>
      <c r="B18" s="9">
        <f>IFERROR(INDEX($I$5:$I$19,MATCH($E18,$J$5:$J$19,0)),"")</f>
        <v/>
      </c>
      <c r="C18" s="9">
        <f>IFERROR(INDEX(Produits!$B:$B,MATCH($B18,Produits!$A:$A,0)),"")</f>
        <v/>
      </c>
      <c r="D18" s="18">
        <f>IFERROR(INDEX($K$5:$K$19,MATCH($E18,$J$5:$J$19,0)),0)</f>
        <v/>
      </c>
      <c r="E18" s="11">
        <f>LARGE($J$5:$J$19,14)</f>
        <v/>
      </c>
      <c r="F18" s="11">
        <f>IFERROR(INDEX($L$5:$L$19,MATCH($E18,$J$5:$J$19,0)),0)</f>
        <v/>
      </c>
      <c r="G18" s="37">
        <f>IF(OR($E18=0,$E18=""),"",$F18/$E18)</f>
        <v/>
      </c>
      <c r="I18">
        <f>Produits!A18</f>
        <v/>
      </c>
      <c r="J18">
        <f>SUMIF(Ventes!$C$5:$C$104,$I18,Ventes!$F$5:$F$104)</f>
        <v/>
      </c>
      <c r="K18">
        <f>SUMIF(Ventes!$C$5:$C$104,$I18,Ventes!$D$5:$D$104)</f>
        <v/>
      </c>
      <c r="L18">
        <f>SUMIF(Ventes!$C$5:$C$104,$I18,Ventes!$G$5:$G$104)</f>
        <v/>
      </c>
    </row>
    <row r="19">
      <c r="A19" s="18" t="n">
        <v>15</v>
      </c>
      <c r="B19" s="9">
        <f>IFERROR(INDEX($I$5:$I$19,MATCH($E19,$J$5:$J$19,0)),"")</f>
        <v/>
      </c>
      <c r="C19" s="9">
        <f>IFERROR(INDEX(Produits!$B:$B,MATCH($B19,Produits!$A:$A,0)),"")</f>
        <v/>
      </c>
      <c r="D19" s="18">
        <f>IFERROR(INDEX($K$5:$K$19,MATCH($E19,$J$5:$J$19,0)),0)</f>
        <v/>
      </c>
      <c r="E19" s="11">
        <f>LARGE($J$5:$J$19,15)</f>
        <v/>
      </c>
      <c r="F19" s="11">
        <f>IFERROR(INDEX($L$5:$L$19,MATCH($E19,$J$5:$J$19,0)),0)</f>
        <v/>
      </c>
      <c r="G19" s="37">
        <f>IF(OR($E19=0,$E19=""),"",$F19/$E19)</f>
        <v/>
      </c>
      <c r="I19">
        <f>Produits!A19</f>
        <v/>
      </c>
      <c r="J19">
        <f>SUMIF(Ventes!$C$5:$C$104,$I19,Ventes!$F$5:$F$104)</f>
        <v/>
      </c>
      <c r="K19">
        <f>SUMIF(Ventes!$C$5:$C$104,$I19,Ventes!$D$5:$D$104)</f>
        <v/>
      </c>
      <c r="L19">
        <f>SUMIF(Ventes!$C$5:$C$104,$I19,Ventes!$G$5:$G$104)</f>
        <v/>
      </c>
    </row>
    <row r="20"/>
    <row r="21"/>
    <row r="22"/>
    <row r="23"/>
    <row r="24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CLIENTS — Historique</t>
        </is>
      </c>
    </row>
    <row r="2">
      <c r="A2" s="2" t="inlineStr">
        <is>
          <t>CA, nombre d'achats et dernière commande par client.</t>
        </is>
      </c>
    </row>
    <row r="3"/>
    <row r="4">
      <c r="A4" s="8" t="inlineStr">
        <is>
          <t>Client</t>
        </is>
      </c>
      <c r="B4" s="8" t="inlineStr">
        <is>
          <t>Nb commandes</t>
        </is>
      </c>
      <c r="C4" s="8" t="inlineStr">
        <is>
          <t>CA total</t>
        </is>
      </c>
      <c r="D4" s="8" t="inlineStr">
        <is>
          <t>Panier moyen</t>
        </is>
      </c>
      <c r="E4" s="8" t="inlineStr">
        <is>
          <t>Dernière commande</t>
        </is>
      </c>
    </row>
    <row r="5">
      <c r="A5" s="9" t="inlineStr">
        <is>
          <t>Entreprise Mboa SARL</t>
        </is>
      </c>
      <c r="B5" s="18">
        <f>COUNTIF(Ventes!$E$5:$E$104,$A5)</f>
        <v/>
      </c>
      <c r="C5" s="11">
        <f>SUMIF(Ventes!$E$5:$E$104,$A5,Ventes!$F$5:$F$104)</f>
        <v/>
      </c>
      <c r="D5" s="11">
        <f>IF($B5=0,0,$C5/$B5)</f>
        <v/>
      </c>
      <c r="E5" s="38">
        <f>IF($B5=0,"",SUMPRODUCT(MAX((Ventes!$E$5:$E$104=$A5)*(Ventes!$A$5:$A$104))))</f>
        <v/>
      </c>
    </row>
    <row r="6">
      <c r="A6" s="9" t="inlineStr">
        <is>
          <t>Cabinet Horizon</t>
        </is>
      </c>
      <c r="B6" s="18">
        <f>COUNTIF(Ventes!$E$5:$E$104,$A6)</f>
        <v/>
      </c>
      <c r="C6" s="11">
        <f>SUMIF(Ventes!$E$5:$E$104,$A6,Ventes!$F$5:$F$104)</f>
        <v/>
      </c>
      <c r="D6" s="11">
        <f>IF($B6=0,0,$C6/$B6)</f>
        <v/>
      </c>
      <c r="E6" s="38">
        <f>IF($B6=0,"",SUMPRODUCT(MAX((Ventes!$E$5:$E$104=$A6)*(Ventes!$A$5:$A$104))))</f>
        <v/>
      </c>
    </row>
    <row r="7">
      <c r="A7" s="9" t="inlineStr">
        <is>
          <t>Client comptoir</t>
        </is>
      </c>
      <c r="B7" s="18">
        <f>COUNTIF(Ventes!$E$5:$E$104,$A7)</f>
        <v/>
      </c>
      <c r="C7" s="11">
        <f>SUMIF(Ventes!$E$5:$E$104,$A7,Ventes!$F$5:$F$104)</f>
        <v/>
      </c>
      <c r="D7" s="11">
        <f>IF($B7=0,0,$C7/$B7)</f>
        <v/>
      </c>
      <c r="E7" s="38">
        <f>IF($B7=0,"",SUMPRODUCT(MAX((Ventes!$E$5:$E$104=$A7)*(Ventes!$A$5:$A$104))))</f>
        <v/>
      </c>
    </row>
    <row r="8">
      <c r="A8" s="9" t="inlineStr">
        <is>
          <t>École Les Élites</t>
        </is>
      </c>
      <c r="B8" s="18">
        <f>COUNTIF(Ventes!$E$5:$E$104,$A8)</f>
        <v/>
      </c>
      <c r="C8" s="11">
        <f>SUMIF(Ventes!$E$5:$E$104,$A8,Ventes!$F$5:$F$104)</f>
        <v/>
      </c>
      <c r="D8" s="11">
        <f>IF($B8=0,0,$C8/$B8)</f>
        <v/>
      </c>
      <c r="E8" s="38">
        <f>IF($B8=0,"",SUMPRODUCT(MAX((Ventes!$E$5:$E$104=$A8)*(Ventes!$A$5:$A$104))))</f>
        <v/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RAPPORT MENSUEL 2026</t>
        </is>
      </c>
    </row>
    <row r="2">
      <c r="A2" s="2" t="inlineStr">
        <is>
          <t>Indicateurs consolidés mois par mois.</t>
        </is>
      </c>
    </row>
    <row r="3"/>
    <row r="4">
      <c r="A4" s="8" t="inlineStr">
        <is>
          <t>Mois</t>
        </is>
      </c>
      <c r="B4" s="8" t="inlineStr">
        <is>
          <t>Nb ventes</t>
        </is>
      </c>
      <c r="C4" s="8" t="inlineStr">
        <is>
          <t>CA</t>
        </is>
      </c>
      <c r="D4" s="8" t="inlineStr">
        <is>
          <t>Bénéfice</t>
        </is>
      </c>
      <c r="E4" s="8" t="inlineStr">
        <is>
          <t>Marge %</t>
        </is>
      </c>
      <c r="F4" s="8" t="inlineStr">
        <is>
          <t>Nb achats</t>
        </is>
      </c>
      <c r="G4" s="8" t="inlineStr">
        <is>
          <t>Qté achetée</t>
        </is>
      </c>
    </row>
    <row r="5">
      <c r="A5" s="39" t="inlineStr">
        <is>
          <t>Janvier</t>
        </is>
      </c>
      <c r="B5" s="18">
        <f>SUMPRODUCT((TEXT(Ventes!$A$5:$A$104,"YYYY-MM")="2026-01")*1)</f>
        <v/>
      </c>
      <c r="C5" s="11">
        <f>SUMPRODUCT((TEXT(Ventes!$A$5:$A$104,"YYYY-MM")="2026-01")*Ventes!$F$5:$F$104)</f>
        <v/>
      </c>
      <c r="D5" s="11">
        <f>SUMPRODUCT((TEXT(Ventes!$A$5:$A$104,"YYYY-MM")="2026-01")*Ventes!$G$5:$G$104)</f>
        <v/>
      </c>
      <c r="E5" s="37">
        <f>IF($C5=0,"",$D5/$C5)</f>
        <v/>
      </c>
      <c r="F5" s="18">
        <f>SUMPRODUCT((TEXT(Achats!$A$5:$A$104,"YYYY-MM")="2026-01")*1)</f>
        <v/>
      </c>
      <c r="G5" s="18">
        <f>SUMPRODUCT((TEXT(Achats!$A$5:$A$104,"YYYY-MM")="2026-01")*Achats!$D$5:$D$104)</f>
        <v/>
      </c>
    </row>
    <row r="6">
      <c r="A6" s="39" t="inlineStr">
        <is>
          <t>Février</t>
        </is>
      </c>
      <c r="B6" s="18">
        <f>SUMPRODUCT((TEXT(Ventes!$A$5:$A$104,"YYYY-MM")="2026-02")*1)</f>
        <v/>
      </c>
      <c r="C6" s="11">
        <f>SUMPRODUCT((TEXT(Ventes!$A$5:$A$104,"YYYY-MM")="2026-02")*Ventes!$F$5:$F$104)</f>
        <v/>
      </c>
      <c r="D6" s="11">
        <f>SUMPRODUCT((TEXT(Ventes!$A$5:$A$104,"YYYY-MM")="2026-02")*Ventes!$G$5:$G$104)</f>
        <v/>
      </c>
      <c r="E6" s="37">
        <f>IF($C6=0,"",$D6/$C6)</f>
        <v/>
      </c>
      <c r="F6" s="18">
        <f>SUMPRODUCT((TEXT(Achats!$A$5:$A$104,"YYYY-MM")="2026-02")*1)</f>
        <v/>
      </c>
      <c r="G6" s="18">
        <f>SUMPRODUCT((TEXT(Achats!$A$5:$A$104,"YYYY-MM")="2026-02")*Achats!$D$5:$D$104)</f>
        <v/>
      </c>
    </row>
    <row r="7">
      <c r="A7" s="39" t="inlineStr">
        <is>
          <t>Mars</t>
        </is>
      </c>
      <c r="B7" s="18">
        <f>SUMPRODUCT((TEXT(Ventes!$A$5:$A$104,"YYYY-MM")="2026-03")*1)</f>
        <v/>
      </c>
      <c r="C7" s="11">
        <f>SUMPRODUCT((TEXT(Ventes!$A$5:$A$104,"YYYY-MM")="2026-03")*Ventes!$F$5:$F$104)</f>
        <v/>
      </c>
      <c r="D7" s="11">
        <f>SUMPRODUCT((TEXT(Ventes!$A$5:$A$104,"YYYY-MM")="2026-03")*Ventes!$G$5:$G$104)</f>
        <v/>
      </c>
      <c r="E7" s="37">
        <f>IF($C7=0,"",$D7/$C7)</f>
        <v/>
      </c>
      <c r="F7" s="18">
        <f>SUMPRODUCT((TEXT(Achats!$A$5:$A$104,"YYYY-MM")="2026-03")*1)</f>
        <v/>
      </c>
      <c r="G7" s="18">
        <f>SUMPRODUCT((TEXT(Achats!$A$5:$A$104,"YYYY-MM")="2026-03")*Achats!$D$5:$D$104)</f>
        <v/>
      </c>
    </row>
    <row r="8">
      <c r="A8" s="39" t="inlineStr">
        <is>
          <t>Avril</t>
        </is>
      </c>
      <c r="B8" s="18">
        <f>SUMPRODUCT((TEXT(Ventes!$A$5:$A$104,"YYYY-MM")="2026-04")*1)</f>
        <v/>
      </c>
      <c r="C8" s="11">
        <f>SUMPRODUCT((TEXT(Ventes!$A$5:$A$104,"YYYY-MM")="2026-04")*Ventes!$F$5:$F$104)</f>
        <v/>
      </c>
      <c r="D8" s="11">
        <f>SUMPRODUCT((TEXT(Ventes!$A$5:$A$104,"YYYY-MM")="2026-04")*Ventes!$G$5:$G$104)</f>
        <v/>
      </c>
      <c r="E8" s="37">
        <f>IF($C8=0,"",$D8/$C8)</f>
        <v/>
      </c>
      <c r="F8" s="18">
        <f>SUMPRODUCT((TEXT(Achats!$A$5:$A$104,"YYYY-MM")="2026-04")*1)</f>
        <v/>
      </c>
      <c r="G8" s="18">
        <f>SUMPRODUCT((TEXT(Achats!$A$5:$A$104,"YYYY-MM")="2026-04")*Achats!$D$5:$D$104)</f>
        <v/>
      </c>
    </row>
    <row r="9">
      <c r="A9" s="39" t="inlineStr">
        <is>
          <t>Mai</t>
        </is>
      </c>
      <c r="B9" s="18">
        <f>SUMPRODUCT((TEXT(Ventes!$A$5:$A$104,"YYYY-MM")="2026-05")*1)</f>
        <v/>
      </c>
      <c r="C9" s="11">
        <f>SUMPRODUCT((TEXT(Ventes!$A$5:$A$104,"YYYY-MM")="2026-05")*Ventes!$F$5:$F$104)</f>
        <v/>
      </c>
      <c r="D9" s="11">
        <f>SUMPRODUCT((TEXT(Ventes!$A$5:$A$104,"YYYY-MM")="2026-05")*Ventes!$G$5:$G$104)</f>
        <v/>
      </c>
      <c r="E9" s="37">
        <f>IF($C9=0,"",$D9/$C9)</f>
        <v/>
      </c>
      <c r="F9" s="18">
        <f>SUMPRODUCT((TEXT(Achats!$A$5:$A$104,"YYYY-MM")="2026-05")*1)</f>
        <v/>
      </c>
      <c r="G9" s="18">
        <f>SUMPRODUCT((TEXT(Achats!$A$5:$A$104,"YYYY-MM")="2026-05")*Achats!$D$5:$D$104)</f>
        <v/>
      </c>
    </row>
    <row r="10">
      <c r="A10" s="39" t="inlineStr">
        <is>
          <t>Juin</t>
        </is>
      </c>
      <c r="B10" s="18">
        <f>SUMPRODUCT((TEXT(Ventes!$A$5:$A$104,"YYYY-MM")="2026-06")*1)</f>
        <v/>
      </c>
      <c r="C10" s="11">
        <f>SUMPRODUCT((TEXT(Ventes!$A$5:$A$104,"YYYY-MM")="2026-06")*Ventes!$F$5:$F$104)</f>
        <v/>
      </c>
      <c r="D10" s="11">
        <f>SUMPRODUCT((TEXT(Ventes!$A$5:$A$104,"YYYY-MM")="2026-06")*Ventes!$G$5:$G$104)</f>
        <v/>
      </c>
      <c r="E10" s="37">
        <f>IF($C10=0,"",$D10/$C10)</f>
        <v/>
      </c>
      <c r="F10" s="18">
        <f>SUMPRODUCT((TEXT(Achats!$A$5:$A$104,"YYYY-MM")="2026-06")*1)</f>
        <v/>
      </c>
      <c r="G10" s="18">
        <f>SUMPRODUCT((TEXT(Achats!$A$5:$A$104,"YYYY-MM")="2026-06")*Achats!$D$5:$D$104)</f>
        <v/>
      </c>
    </row>
    <row r="11">
      <c r="A11" s="39" t="inlineStr">
        <is>
          <t>Juillet</t>
        </is>
      </c>
      <c r="B11" s="18">
        <f>SUMPRODUCT((TEXT(Ventes!$A$5:$A$104,"YYYY-MM")="2026-07")*1)</f>
        <v/>
      </c>
      <c r="C11" s="11">
        <f>SUMPRODUCT((TEXT(Ventes!$A$5:$A$104,"YYYY-MM")="2026-07")*Ventes!$F$5:$F$104)</f>
        <v/>
      </c>
      <c r="D11" s="11">
        <f>SUMPRODUCT((TEXT(Ventes!$A$5:$A$104,"YYYY-MM")="2026-07")*Ventes!$G$5:$G$104)</f>
        <v/>
      </c>
      <c r="E11" s="37">
        <f>IF($C11=0,"",$D11/$C11)</f>
        <v/>
      </c>
      <c r="F11" s="18">
        <f>SUMPRODUCT((TEXT(Achats!$A$5:$A$104,"YYYY-MM")="2026-07")*1)</f>
        <v/>
      </c>
      <c r="G11" s="18">
        <f>SUMPRODUCT((TEXT(Achats!$A$5:$A$104,"YYYY-MM")="2026-07")*Achats!$D$5:$D$104)</f>
        <v/>
      </c>
    </row>
    <row r="12">
      <c r="A12" s="39" t="inlineStr">
        <is>
          <t>Août</t>
        </is>
      </c>
      <c r="B12" s="18">
        <f>SUMPRODUCT((TEXT(Ventes!$A$5:$A$104,"YYYY-MM")="2026-08")*1)</f>
        <v/>
      </c>
      <c r="C12" s="11">
        <f>SUMPRODUCT((TEXT(Ventes!$A$5:$A$104,"YYYY-MM")="2026-08")*Ventes!$F$5:$F$104)</f>
        <v/>
      </c>
      <c r="D12" s="11">
        <f>SUMPRODUCT((TEXT(Ventes!$A$5:$A$104,"YYYY-MM")="2026-08")*Ventes!$G$5:$G$104)</f>
        <v/>
      </c>
      <c r="E12" s="37">
        <f>IF($C12=0,"",$D12/$C12)</f>
        <v/>
      </c>
      <c r="F12" s="18">
        <f>SUMPRODUCT((TEXT(Achats!$A$5:$A$104,"YYYY-MM")="2026-08")*1)</f>
        <v/>
      </c>
      <c r="G12" s="18">
        <f>SUMPRODUCT((TEXT(Achats!$A$5:$A$104,"YYYY-MM")="2026-08")*Achats!$D$5:$D$104)</f>
        <v/>
      </c>
    </row>
    <row r="13">
      <c r="A13" s="39" t="inlineStr">
        <is>
          <t>Septembre</t>
        </is>
      </c>
      <c r="B13" s="18">
        <f>SUMPRODUCT((TEXT(Ventes!$A$5:$A$104,"YYYY-MM")="2026-09")*1)</f>
        <v/>
      </c>
      <c r="C13" s="11">
        <f>SUMPRODUCT((TEXT(Ventes!$A$5:$A$104,"YYYY-MM")="2026-09")*Ventes!$F$5:$F$104)</f>
        <v/>
      </c>
      <c r="D13" s="11">
        <f>SUMPRODUCT((TEXT(Ventes!$A$5:$A$104,"YYYY-MM")="2026-09")*Ventes!$G$5:$G$104)</f>
        <v/>
      </c>
      <c r="E13" s="37">
        <f>IF($C13=0,"",$D13/$C13)</f>
        <v/>
      </c>
      <c r="F13" s="18">
        <f>SUMPRODUCT((TEXT(Achats!$A$5:$A$104,"YYYY-MM")="2026-09")*1)</f>
        <v/>
      </c>
      <c r="G13" s="18">
        <f>SUMPRODUCT((TEXT(Achats!$A$5:$A$104,"YYYY-MM")="2026-09")*Achats!$D$5:$D$104)</f>
        <v/>
      </c>
    </row>
    <row r="14">
      <c r="A14" s="39" t="inlineStr">
        <is>
          <t>Octobre</t>
        </is>
      </c>
      <c r="B14" s="18">
        <f>SUMPRODUCT((TEXT(Ventes!$A$5:$A$104,"YYYY-MM")="2026-10")*1)</f>
        <v/>
      </c>
      <c r="C14" s="11">
        <f>SUMPRODUCT((TEXT(Ventes!$A$5:$A$104,"YYYY-MM")="2026-10")*Ventes!$F$5:$F$104)</f>
        <v/>
      </c>
      <c r="D14" s="11">
        <f>SUMPRODUCT((TEXT(Ventes!$A$5:$A$104,"YYYY-MM")="2026-10")*Ventes!$G$5:$G$104)</f>
        <v/>
      </c>
      <c r="E14" s="37">
        <f>IF($C14=0,"",$D14/$C14)</f>
        <v/>
      </c>
      <c r="F14" s="18">
        <f>SUMPRODUCT((TEXT(Achats!$A$5:$A$104,"YYYY-MM")="2026-10")*1)</f>
        <v/>
      </c>
      <c r="G14" s="18">
        <f>SUMPRODUCT((TEXT(Achats!$A$5:$A$104,"YYYY-MM")="2026-10")*Achats!$D$5:$D$104)</f>
        <v/>
      </c>
    </row>
    <row r="15">
      <c r="A15" s="39" t="inlineStr">
        <is>
          <t>Novembre</t>
        </is>
      </c>
      <c r="B15" s="18">
        <f>SUMPRODUCT((TEXT(Ventes!$A$5:$A$104,"YYYY-MM")="2026-11")*1)</f>
        <v/>
      </c>
      <c r="C15" s="11">
        <f>SUMPRODUCT((TEXT(Ventes!$A$5:$A$104,"YYYY-MM")="2026-11")*Ventes!$F$5:$F$104)</f>
        <v/>
      </c>
      <c r="D15" s="11">
        <f>SUMPRODUCT((TEXT(Ventes!$A$5:$A$104,"YYYY-MM")="2026-11")*Ventes!$G$5:$G$104)</f>
        <v/>
      </c>
      <c r="E15" s="37">
        <f>IF($C15=0,"",$D15/$C15)</f>
        <v/>
      </c>
      <c r="F15" s="18">
        <f>SUMPRODUCT((TEXT(Achats!$A$5:$A$104,"YYYY-MM")="2026-11")*1)</f>
        <v/>
      </c>
      <c r="G15" s="18">
        <f>SUMPRODUCT((TEXT(Achats!$A$5:$A$104,"YYYY-MM")="2026-11")*Achats!$D$5:$D$104)</f>
        <v/>
      </c>
    </row>
    <row r="16">
      <c r="A16" s="39" t="inlineStr">
        <is>
          <t>Décembre</t>
        </is>
      </c>
      <c r="B16" s="18">
        <f>SUMPRODUCT((TEXT(Ventes!$A$5:$A$104,"YYYY-MM")="2026-12")*1)</f>
        <v/>
      </c>
      <c r="C16" s="11">
        <f>SUMPRODUCT((TEXT(Ventes!$A$5:$A$104,"YYYY-MM")="2026-12")*Ventes!$F$5:$F$104)</f>
        <v/>
      </c>
      <c r="D16" s="11">
        <f>SUMPRODUCT((TEXT(Ventes!$A$5:$A$104,"YYYY-MM")="2026-12")*Ventes!$G$5:$G$104)</f>
        <v/>
      </c>
      <c r="E16" s="37">
        <f>IF($C16=0,"",$D16/$C16)</f>
        <v/>
      </c>
      <c r="F16" s="18">
        <f>SUMPRODUCT((TEXT(Achats!$A$5:$A$104,"YYYY-MM")="2026-12")*1)</f>
        <v/>
      </c>
      <c r="G16" s="18">
        <f>SUMPRODUCT((TEXT(Achats!$A$5:$A$104,"YYYY-MM")="2026-12")*Achats!$D$5:$D$104)</f>
        <v/>
      </c>
    </row>
    <row r="17">
      <c r="A17" s="40" t="inlineStr">
        <is>
          <t>TOTAL</t>
        </is>
      </c>
      <c r="B17" s="41">
        <f>SUM(B5:B16)</f>
        <v/>
      </c>
      <c r="C17" s="42">
        <f>SUM(C5:C16)</f>
        <v/>
      </c>
      <c r="D17" s="42">
        <f>SUM(D5:D16)</f>
        <v/>
      </c>
      <c r="E17" s="43">
        <f>IF(C17=0,"",D17/C17)</f>
        <v/>
      </c>
      <c r="F17" s="41">
        <f>SUM(F5:F16)</f>
        <v/>
      </c>
      <c r="G17" s="41">
        <f>SUM(G5:G16)</f>
        <v/>
      </c>
    </row>
    <row r="18"/>
    <row r="19"/>
    <row r="20"/>
    <row r="21"/>
    <row r="22"/>
    <row r="23"/>
    <row r="24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6" customWidth="1" min="4" max="4"/>
    <col width="12" customWidth="1" min="5" max="5"/>
    <col width="16" customWidth="1" min="6" max="6"/>
    <col width="14" customWidth="1" min="7" max="7"/>
  </cols>
  <sheetData>
    <row r="1">
      <c r="A1" s="1" t="inlineStr">
        <is>
          <t>PRÉVISIONS DE RUPTURE</t>
        </is>
      </c>
    </row>
    <row r="2">
      <c r="A2" s="2" t="inlineStr">
        <is>
          <t>Délai estimé avant rupture selon la vitesse de vente.</t>
        </is>
      </c>
    </row>
    <row r="3"/>
    <row r="4">
      <c r="A4" s="8" t="inlineStr">
        <is>
          <t>SKU</t>
        </is>
      </c>
      <c r="B4" s="8" t="inlineStr">
        <is>
          <t>Produit</t>
        </is>
      </c>
      <c r="C4" s="8" t="inlineStr">
        <is>
          <t>Stock actuel</t>
        </is>
      </c>
      <c r="D4" s="8" t="inlineStr">
        <is>
          <t>Qté vendue (30j)</t>
        </is>
      </c>
      <c r="E4" s="8" t="inlineStr">
        <is>
          <t>Vitesse/jour</t>
        </is>
      </c>
      <c r="F4" s="8" t="inlineStr">
        <is>
          <t>Jours avant rupture</t>
        </is>
      </c>
      <c r="G4" s="8" t="inlineStr">
        <is>
          <t>Statut</t>
        </is>
      </c>
    </row>
    <row r="5">
      <c r="A5" s="9">
        <f>Produits!A5</f>
        <v/>
      </c>
      <c r="B5" s="9">
        <f>Produits!B5</f>
        <v/>
      </c>
      <c r="C5" s="18">
        <f>Produits!H5</f>
        <v/>
      </c>
      <c r="D5" s="18">
        <f>SUMPRODUCT((Ventes!$C$5:$C$104=$A5)*(Ventes!$A$5:$A$104&gt;=TODAY()-30)*Ventes!$D$5:$D$104)</f>
        <v/>
      </c>
      <c r="E5" s="44">
        <f>IF($D5=0,0,$D5/30)</f>
        <v/>
      </c>
      <c r="F5" s="18">
        <f>IF($E5=0,"",IF($C5&lt;=0,0,ROUND($C5/$E5,0)))</f>
        <v/>
      </c>
      <c r="G5" s="18">
        <f>IF($C5&lt;=0,"RUPTURE",IF(AND(ISNUMBER($F5),$F5&lt;=7),"CRITIQUE",IF(AND(ISNUMBER($F5),$F5&lt;=30),"A SURVEILLER","OK")))</f>
        <v/>
      </c>
    </row>
    <row r="6">
      <c r="A6" s="9">
        <f>Produits!A6</f>
        <v/>
      </c>
      <c r="B6" s="9">
        <f>Produits!B6</f>
        <v/>
      </c>
      <c r="C6" s="18">
        <f>Produits!H6</f>
        <v/>
      </c>
      <c r="D6" s="18">
        <f>SUMPRODUCT((Ventes!$C$5:$C$104=$A6)*(Ventes!$A$5:$A$104&gt;=TODAY()-30)*Ventes!$D$5:$D$104)</f>
        <v/>
      </c>
      <c r="E6" s="44">
        <f>IF($D6=0,0,$D6/30)</f>
        <v/>
      </c>
      <c r="F6" s="18">
        <f>IF($E6=0,"",IF($C6&lt;=0,0,ROUND($C6/$E6,0)))</f>
        <v/>
      </c>
      <c r="G6" s="18">
        <f>IF($C6&lt;=0,"RUPTURE",IF(AND(ISNUMBER($F6),$F6&lt;=7),"CRITIQUE",IF(AND(ISNUMBER($F6),$F6&lt;=30),"A SURVEILLER","OK")))</f>
        <v/>
      </c>
    </row>
    <row r="7">
      <c r="A7" s="9">
        <f>Produits!A7</f>
        <v/>
      </c>
      <c r="B7" s="9">
        <f>Produits!B7</f>
        <v/>
      </c>
      <c r="C7" s="18">
        <f>Produits!H7</f>
        <v/>
      </c>
      <c r="D7" s="18">
        <f>SUMPRODUCT((Ventes!$C$5:$C$104=$A7)*(Ventes!$A$5:$A$104&gt;=TODAY()-30)*Ventes!$D$5:$D$104)</f>
        <v/>
      </c>
      <c r="E7" s="44">
        <f>IF($D7=0,0,$D7/30)</f>
        <v/>
      </c>
      <c r="F7" s="18">
        <f>IF($E7=0,"",IF($C7&lt;=0,0,ROUND($C7/$E7,0)))</f>
        <v/>
      </c>
      <c r="G7" s="18">
        <f>IF($C7&lt;=0,"RUPTURE",IF(AND(ISNUMBER($F7),$F7&lt;=7),"CRITIQUE",IF(AND(ISNUMBER($F7),$F7&lt;=30),"A SURVEILLER","OK")))</f>
        <v/>
      </c>
    </row>
    <row r="8">
      <c r="A8" s="9">
        <f>Produits!A8</f>
        <v/>
      </c>
      <c r="B8" s="9">
        <f>Produits!B8</f>
        <v/>
      </c>
      <c r="C8" s="18">
        <f>Produits!H8</f>
        <v/>
      </c>
      <c r="D8" s="18">
        <f>SUMPRODUCT((Ventes!$C$5:$C$104=$A8)*(Ventes!$A$5:$A$104&gt;=TODAY()-30)*Ventes!$D$5:$D$104)</f>
        <v/>
      </c>
      <c r="E8" s="44">
        <f>IF($D8=0,0,$D8/30)</f>
        <v/>
      </c>
      <c r="F8" s="18">
        <f>IF($E8=0,"",IF($C8&lt;=0,0,ROUND($C8/$E8,0)))</f>
        <v/>
      </c>
      <c r="G8" s="18">
        <f>IF($C8&lt;=0,"RUPTURE",IF(AND(ISNUMBER($F8),$F8&lt;=7),"CRITIQUE",IF(AND(ISNUMBER($F8),$F8&lt;=30),"A SURVEILLER","OK")))</f>
        <v/>
      </c>
    </row>
    <row r="9">
      <c r="A9" s="9">
        <f>Produits!A9</f>
        <v/>
      </c>
      <c r="B9" s="9">
        <f>Produits!B9</f>
        <v/>
      </c>
      <c r="C9" s="18">
        <f>Produits!H9</f>
        <v/>
      </c>
      <c r="D9" s="18">
        <f>SUMPRODUCT((Ventes!$C$5:$C$104=$A9)*(Ventes!$A$5:$A$104&gt;=TODAY()-30)*Ventes!$D$5:$D$104)</f>
        <v/>
      </c>
      <c r="E9" s="44">
        <f>IF($D9=0,0,$D9/30)</f>
        <v/>
      </c>
      <c r="F9" s="18">
        <f>IF($E9=0,"",IF($C9&lt;=0,0,ROUND($C9/$E9,0)))</f>
        <v/>
      </c>
      <c r="G9" s="18">
        <f>IF($C9&lt;=0,"RUPTURE",IF(AND(ISNUMBER($F9),$F9&lt;=7),"CRITIQUE",IF(AND(ISNUMBER($F9),$F9&lt;=30),"A SURVEILLER","OK")))</f>
        <v/>
      </c>
    </row>
    <row r="10">
      <c r="A10" s="9">
        <f>Produits!A10</f>
        <v/>
      </c>
      <c r="B10" s="9">
        <f>Produits!B10</f>
        <v/>
      </c>
      <c r="C10" s="18">
        <f>Produits!H10</f>
        <v/>
      </c>
      <c r="D10" s="18">
        <f>SUMPRODUCT((Ventes!$C$5:$C$104=$A10)*(Ventes!$A$5:$A$104&gt;=TODAY()-30)*Ventes!$D$5:$D$104)</f>
        <v/>
      </c>
      <c r="E10" s="44">
        <f>IF($D10=0,0,$D10/30)</f>
        <v/>
      </c>
      <c r="F10" s="18">
        <f>IF($E10=0,"",IF($C10&lt;=0,0,ROUND($C10/$E10,0)))</f>
        <v/>
      </c>
      <c r="G10" s="18">
        <f>IF($C10&lt;=0,"RUPTURE",IF(AND(ISNUMBER($F10),$F10&lt;=7),"CRITIQUE",IF(AND(ISNUMBER($F10),$F10&lt;=30),"A SURVEILLER","OK")))</f>
        <v/>
      </c>
    </row>
    <row r="11">
      <c r="A11" s="9">
        <f>Produits!A11</f>
        <v/>
      </c>
      <c r="B11" s="9">
        <f>Produits!B11</f>
        <v/>
      </c>
      <c r="C11" s="18">
        <f>Produits!H11</f>
        <v/>
      </c>
      <c r="D11" s="18">
        <f>SUMPRODUCT((Ventes!$C$5:$C$104=$A11)*(Ventes!$A$5:$A$104&gt;=TODAY()-30)*Ventes!$D$5:$D$104)</f>
        <v/>
      </c>
      <c r="E11" s="44">
        <f>IF($D11=0,0,$D11/30)</f>
        <v/>
      </c>
      <c r="F11" s="18">
        <f>IF($E11=0,"",IF($C11&lt;=0,0,ROUND($C11/$E11,0)))</f>
        <v/>
      </c>
      <c r="G11" s="18">
        <f>IF($C11&lt;=0,"RUPTURE",IF(AND(ISNUMBER($F11),$F11&lt;=7),"CRITIQUE",IF(AND(ISNUMBER($F11),$F11&lt;=30),"A SURVEILLER","OK")))</f>
        <v/>
      </c>
    </row>
    <row r="12">
      <c r="A12" s="9">
        <f>Produits!A12</f>
        <v/>
      </c>
      <c r="B12" s="9">
        <f>Produits!B12</f>
        <v/>
      </c>
      <c r="C12" s="18">
        <f>Produits!H12</f>
        <v/>
      </c>
      <c r="D12" s="18">
        <f>SUMPRODUCT((Ventes!$C$5:$C$104=$A12)*(Ventes!$A$5:$A$104&gt;=TODAY()-30)*Ventes!$D$5:$D$104)</f>
        <v/>
      </c>
      <c r="E12" s="44">
        <f>IF($D12=0,0,$D12/30)</f>
        <v/>
      </c>
      <c r="F12" s="18">
        <f>IF($E12=0,"",IF($C12&lt;=0,0,ROUND($C12/$E12,0)))</f>
        <v/>
      </c>
      <c r="G12" s="18">
        <f>IF($C12&lt;=0,"RUPTURE",IF(AND(ISNUMBER($F12),$F12&lt;=7),"CRITIQUE",IF(AND(ISNUMBER($F12),$F12&lt;=30),"A SURVEILLER","OK")))</f>
        <v/>
      </c>
    </row>
    <row r="13">
      <c r="A13" s="9">
        <f>Produits!A13</f>
        <v/>
      </c>
      <c r="B13" s="9">
        <f>Produits!B13</f>
        <v/>
      </c>
      <c r="C13" s="18">
        <f>Produits!H13</f>
        <v/>
      </c>
      <c r="D13" s="18">
        <f>SUMPRODUCT((Ventes!$C$5:$C$104=$A13)*(Ventes!$A$5:$A$104&gt;=TODAY()-30)*Ventes!$D$5:$D$104)</f>
        <v/>
      </c>
      <c r="E13" s="44">
        <f>IF($D13=0,0,$D13/30)</f>
        <v/>
      </c>
      <c r="F13" s="18">
        <f>IF($E13=0,"",IF($C13&lt;=0,0,ROUND($C13/$E13,0)))</f>
        <v/>
      </c>
      <c r="G13" s="18">
        <f>IF($C13&lt;=0,"RUPTURE",IF(AND(ISNUMBER($F13),$F13&lt;=7),"CRITIQUE",IF(AND(ISNUMBER($F13),$F13&lt;=30),"A SURVEILLER","OK")))</f>
        <v/>
      </c>
    </row>
    <row r="14">
      <c r="A14" s="9">
        <f>Produits!A14</f>
        <v/>
      </c>
      <c r="B14" s="9">
        <f>Produits!B14</f>
        <v/>
      </c>
      <c r="C14" s="18">
        <f>Produits!H14</f>
        <v/>
      </c>
      <c r="D14" s="18">
        <f>SUMPRODUCT((Ventes!$C$5:$C$104=$A14)*(Ventes!$A$5:$A$104&gt;=TODAY()-30)*Ventes!$D$5:$D$104)</f>
        <v/>
      </c>
      <c r="E14" s="44">
        <f>IF($D14=0,0,$D14/30)</f>
        <v/>
      </c>
      <c r="F14" s="18">
        <f>IF($E14=0,"",IF($C14&lt;=0,0,ROUND($C14/$E14,0)))</f>
        <v/>
      </c>
      <c r="G14" s="18">
        <f>IF($C14&lt;=0,"RUPTURE",IF(AND(ISNUMBER($F14),$F14&lt;=7),"CRITIQUE",IF(AND(ISNUMBER($F14),$F14&lt;=30),"A SURVEILLER","OK")))</f>
        <v/>
      </c>
    </row>
    <row r="15">
      <c r="A15" s="9">
        <f>Produits!A15</f>
        <v/>
      </c>
      <c r="B15" s="9">
        <f>Produits!B15</f>
        <v/>
      </c>
      <c r="C15" s="18">
        <f>Produits!H15</f>
        <v/>
      </c>
      <c r="D15" s="18">
        <f>SUMPRODUCT((Ventes!$C$5:$C$104=$A15)*(Ventes!$A$5:$A$104&gt;=TODAY()-30)*Ventes!$D$5:$D$104)</f>
        <v/>
      </c>
      <c r="E15" s="44">
        <f>IF($D15=0,0,$D15/30)</f>
        <v/>
      </c>
      <c r="F15" s="18">
        <f>IF($E15=0,"",IF($C15&lt;=0,0,ROUND($C15/$E15,0)))</f>
        <v/>
      </c>
      <c r="G15" s="18">
        <f>IF($C15&lt;=0,"RUPTURE",IF(AND(ISNUMBER($F15),$F15&lt;=7),"CRITIQUE",IF(AND(ISNUMBER($F15),$F15&lt;=30),"A SURVEILLER","OK")))</f>
        <v/>
      </c>
    </row>
    <row r="16">
      <c r="A16" s="9">
        <f>Produits!A16</f>
        <v/>
      </c>
      <c r="B16" s="9">
        <f>Produits!B16</f>
        <v/>
      </c>
      <c r="C16" s="18">
        <f>Produits!H16</f>
        <v/>
      </c>
      <c r="D16" s="18">
        <f>SUMPRODUCT((Ventes!$C$5:$C$104=$A16)*(Ventes!$A$5:$A$104&gt;=TODAY()-30)*Ventes!$D$5:$D$104)</f>
        <v/>
      </c>
      <c r="E16" s="44">
        <f>IF($D16=0,0,$D16/30)</f>
        <v/>
      </c>
      <c r="F16" s="18">
        <f>IF($E16=0,"",IF($C16&lt;=0,0,ROUND($C16/$E16,0)))</f>
        <v/>
      </c>
      <c r="G16" s="18">
        <f>IF($C16&lt;=0,"RUPTURE",IF(AND(ISNUMBER($F16),$F16&lt;=7),"CRITIQUE",IF(AND(ISNUMBER($F16),$F16&lt;=30),"A SURVEILLER","OK")))</f>
        <v/>
      </c>
    </row>
    <row r="17">
      <c r="A17" s="9">
        <f>Produits!A17</f>
        <v/>
      </c>
      <c r="B17" s="9">
        <f>Produits!B17</f>
        <v/>
      </c>
      <c r="C17" s="18">
        <f>Produits!H17</f>
        <v/>
      </c>
      <c r="D17" s="18">
        <f>SUMPRODUCT((Ventes!$C$5:$C$104=$A17)*(Ventes!$A$5:$A$104&gt;=TODAY()-30)*Ventes!$D$5:$D$104)</f>
        <v/>
      </c>
      <c r="E17" s="44">
        <f>IF($D17=0,0,$D17/30)</f>
        <v/>
      </c>
      <c r="F17" s="18">
        <f>IF($E17=0,"",IF($C17&lt;=0,0,ROUND($C17/$E17,0)))</f>
        <v/>
      </c>
      <c r="G17" s="18">
        <f>IF($C17&lt;=0,"RUPTURE",IF(AND(ISNUMBER($F17),$F17&lt;=7),"CRITIQUE",IF(AND(ISNUMBER($F17),$F17&lt;=30),"A SURVEILLER","OK")))</f>
        <v/>
      </c>
    </row>
    <row r="18">
      <c r="A18" s="9">
        <f>Produits!A18</f>
        <v/>
      </c>
      <c r="B18" s="9">
        <f>Produits!B18</f>
        <v/>
      </c>
      <c r="C18" s="18">
        <f>Produits!H18</f>
        <v/>
      </c>
      <c r="D18" s="18">
        <f>SUMPRODUCT((Ventes!$C$5:$C$104=$A18)*(Ventes!$A$5:$A$104&gt;=TODAY()-30)*Ventes!$D$5:$D$104)</f>
        <v/>
      </c>
      <c r="E18" s="44">
        <f>IF($D18=0,0,$D18/30)</f>
        <v/>
      </c>
      <c r="F18" s="18">
        <f>IF($E18=0,"",IF($C18&lt;=0,0,ROUND($C18/$E18,0)))</f>
        <v/>
      </c>
      <c r="G18" s="18">
        <f>IF($C18&lt;=0,"RUPTURE",IF(AND(ISNUMBER($F18),$F18&lt;=7),"CRITIQUE",IF(AND(ISNUMBER($F18),$F18&lt;=30),"A SURVEILLER","OK")))</f>
        <v/>
      </c>
    </row>
    <row r="19">
      <c r="A19" s="9">
        <f>Produits!A19</f>
        <v/>
      </c>
      <c r="B19" s="9">
        <f>Produits!B19</f>
        <v/>
      </c>
      <c r="C19" s="18">
        <f>Produits!H19</f>
        <v/>
      </c>
      <c r="D19" s="18">
        <f>SUMPRODUCT((Ventes!$C$5:$C$104=$A19)*(Ventes!$A$5:$A$104&gt;=TODAY()-30)*Ventes!$D$5:$D$104)</f>
        <v/>
      </c>
      <c r="E19" s="44">
        <f>IF($D19=0,0,$D19/30)</f>
        <v/>
      </c>
      <c r="F19" s="18">
        <f>IF($E19=0,"",IF($C19&lt;=0,0,ROUND($C19/$E19,0)))</f>
        <v/>
      </c>
      <c r="G19" s="18">
        <f>IF($C19&lt;=0,"RUPTURE",IF(AND(ISNUMBER($F19),$F19&lt;=7),"CRITIQUE",IF(AND(ISNUMBER($F19),$F19&lt;=30),"A SURVEILLER","OK")))</f>
        <v/>
      </c>
    </row>
    <row r="20"/>
    <row r="21"/>
    <row r="22"/>
    <row r="23"/>
    <row r="24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conditionalFormatting sqref="G5:G19">
    <cfRule type="cellIs" priority="1" operator="equal" dxfId="0">
      <formula>"RUPTURE"</formula>
    </cfRule>
    <cfRule type="cellIs" priority="2" operator="equal" dxfId="0">
      <formula>"CRITIQUE"</formula>
    </cfRule>
    <cfRule type="cellIs" priority="3" operator="equal" dxfId="2">
      <formula>"A SURVEILLER"</formula>
    </cfRule>
    <cfRule type="cellIs" priority="4" operator="equal" dxfId="1">
      <formula>"OK"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8" customWidth="1" min="5" max="5"/>
    <col width="10" customWidth="1" min="6" max="6"/>
    <col width="15" customWidth="1" min="7" max="7"/>
    <col width="55" customWidth="1" min="8" max="8"/>
    <col width="25" customWidth="1" min="10" max="10"/>
    <col width="18" customWidth="1" min="11" max="11"/>
  </cols>
  <sheetData>
    <row r="1">
      <c r="A1" s="1" t="inlineStr">
        <is>
          <t>DONNÉES POUR LE CHATBOT</t>
        </is>
      </c>
    </row>
    <row r="2">
      <c r="A2" s="34" t="inlineStr">
        <is>
          <t>Feuille automatique.</t>
        </is>
      </c>
    </row>
    <row r="3"/>
    <row r="4">
      <c r="A4" s="8" t="inlineStr">
        <is>
          <t>SKU</t>
        </is>
      </c>
      <c r="B4" s="8" t="inlineStr">
        <is>
          <t>Nom</t>
        </is>
      </c>
      <c r="C4" s="8" t="inlineStr">
        <is>
          <t>Catégorie</t>
        </is>
      </c>
      <c r="D4" s="8" t="inlineStr">
        <is>
          <t>Prix</t>
        </is>
      </c>
      <c r="E4" s="8" t="inlineStr">
        <is>
          <t>Stock</t>
        </is>
      </c>
      <c r="F4" s="8" t="inlineStr">
        <is>
          <t>Dispo</t>
        </is>
      </c>
      <c r="G4" s="8" t="inlineStr">
        <is>
          <t>Alerte</t>
        </is>
      </c>
      <c r="H4" s="8" t="inlineStr">
        <is>
          <t>Mots-clés</t>
        </is>
      </c>
      <c r="J4" s="8" t="inlineStr">
        <is>
          <t>KPI</t>
        </is>
      </c>
      <c r="K4" s="8" t="inlineStr">
        <is>
          <t>Valeur</t>
        </is>
      </c>
    </row>
    <row r="5">
      <c r="A5" s="9">
        <f>Produits!A5</f>
        <v/>
      </c>
      <c r="B5" s="9">
        <f>Produits!B5</f>
        <v/>
      </c>
      <c r="C5" s="9">
        <f>Produits!K5</f>
        <v/>
      </c>
      <c r="D5" s="11">
        <f>Produits!D5</f>
        <v/>
      </c>
      <c r="E5" s="9">
        <f>Produits!H5</f>
        <v/>
      </c>
      <c r="F5" s="9">
        <f>IF(E5&gt;0,"En stock","Rupture")</f>
        <v/>
      </c>
      <c r="G5" s="9">
        <f>Produits!I5</f>
        <v/>
      </c>
      <c r="H5" s="9">
        <f>LOWER(B5&amp;" "&amp;C5)</f>
        <v/>
      </c>
      <c r="J5" s="29" t="inlineStr">
        <is>
          <t>chiffre_affaires_mois</t>
        </is>
      </c>
      <c r="K5" s="45">
        <f>SUMPRODUCT((TEXT(Ventes!$A$5:$A$104,"YYYY-MM")=TEXT(TODAY(),"YYYY-MM"))*Ventes!$F$5:$F$104)</f>
        <v/>
      </c>
    </row>
    <row r="6">
      <c r="A6" s="9">
        <f>Produits!A6</f>
        <v/>
      </c>
      <c r="B6" s="9">
        <f>Produits!B6</f>
        <v/>
      </c>
      <c r="C6" s="9">
        <f>Produits!K6</f>
        <v/>
      </c>
      <c r="D6" s="11">
        <f>Produits!D6</f>
        <v/>
      </c>
      <c r="E6" s="9">
        <f>Produits!H6</f>
        <v/>
      </c>
      <c r="F6" s="9">
        <f>IF(E6&gt;0,"En stock","Rupture")</f>
        <v/>
      </c>
      <c r="G6" s="9">
        <f>Produits!I6</f>
        <v/>
      </c>
      <c r="H6" s="9">
        <f>LOWER(B6&amp;" "&amp;C6)</f>
        <v/>
      </c>
      <c r="J6" s="29" t="inlineStr">
        <is>
          <t>benefice_mois</t>
        </is>
      </c>
      <c r="K6" s="45">
        <f>SUMPRODUCT((TEXT(Ventes!$A$5:$A$104,"YYYY-MM")=TEXT(TODAY(),"YYYY-MM"))*Ventes!$G$5:$G$104)</f>
        <v/>
      </c>
    </row>
    <row r="7">
      <c r="A7" s="9">
        <f>Produits!A7</f>
        <v/>
      </c>
      <c r="B7" s="9">
        <f>Produits!B7</f>
        <v/>
      </c>
      <c r="C7" s="9">
        <f>Produits!K7</f>
        <v/>
      </c>
      <c r="D7" s="11">
        <f>Produits!D7</f>
        <v/>
      </c>
      <c r="E7" s="9">
        <f>Produits!H7</f>
        <v/>
      </c>
      <c r="F7" s="9">
        <f>IF(E7&gt;0,"En stock","Rupture")</f>
        <v/>
      </c>
      <c r="G7" s="9">
        <f>Produits!I7</f>
        <v/>
      </c>
      <c r="H7" s="9">
        <f>LOWER(B7&amp;" "&amp;C7)</f>
        <v/>
      </c>
      <c r="J7" s="29" t="inlineStr">
        <is>
          <t>produits_en_alerte</t>
        </is>
      </c>
      <c r="K7" s="45">
        <f>COUNTIF(Produits!$I$5:$I$104,"A COMMANDER")</f>
        <v/>
      </c>
    </row>
    <row r="8">
      <c r="A8" s="9">
        <f>Produits!A8</f>
        <v/>
      </c>
      <c r="B8" s="9">
        <f>Produits!B8</f>
        <v/>
      </c>
      <c r="C8" s="9">
        <f>Produits!K8</f>
        <v/>
      </c>
      <c r="D8" s="11">
        <f>Produits!D8</f>
        <v/>
      </c>
      <c r="E8" s="9">
        <f>Produits!H8</f>
        <v/>
      </c>
      <c r="F8" s="9">
        <f>IF(E8&gt;0,"En stock","Rupture")</f>
        <v/>
      </c>
      <c r="G8" s="9">
        <f>Produits!I8</f>
        <v/>
      </c>
      <c r="H8" s="9">
        <f>LOWER(B8&amp;" "&amp;C8)</f>
        <v/>
      </c>
      <c r="J8" s="29" t="inlineStr">
        <is>
          <t>valeur_stock</t>
        </is>
      </c>
      <c r="K8" s="45">
        <f>SUMPRODUCT(Produits!$C$5:$C$19,Produits!$H$5:$H$19)</f>
        <v/>
      </c>
    </row>
    <row r="9">
      <c r="A9" s="9">
        <f>Produits!A9</f>
        <v/>
      </c>
      <c r="B9" s="9">
        <f>Produits!B9</f>
        <v/>
      </c>
      <c r="C9" s="9">
        <f>Produits!K9</f>
        <v/>
      </c>
      <c r="D9" s="11">
        <f>Produits!D9</f>
        <v/>
      </c>
      <c r="E9" s="9">
        <f>Produits!H9</f>
        <v/>
      </c>
      <c r="F9" s="9">
        <f>IF(E9&gt;0,"En stock","Rupture")</f>
        <v/>
      </c>
      <c r="G9" s="9">
        <f>Produits!I9</f>
        <v/>
      </c>
      <c r="H9" s="9">
        <f>LOWER(B9&amp;" "&amp;C9)</f>
        <v/>
      </c>
      <c r="J9" s="29" t="inlineStr">
        <is>
          <t>nb_ventes_total</t>
        </is>
      </c>
      <c r="K9" s="45">
        <f>COUNTA(Ventes!$A$5:$A$104)</f>
        <v/>
      </c>
    </row>
    <row r="10">
      <c r="A10" s="9">
        <f>Produits!A10</f>
        <v/>
      </c>
      <c r="B10" s="9">
        <f>Produits!B10</f>
        <v/>
      </c>
      <c r="C10" s="9">
        <f>Produits!K10</f>
        <v/>
      </c>
      <c r="D10" s="11">
        <f>Produits!D10</f>
        <v/>
      </c>
      <c r="E10" s="9">
        <f>Produits!H10</f>
        <v/>
      </c>
      <c r="F10" s="9">
        <f>IF(E10&gt;0,"En stock","Rupture")</f>
        <v/>
      </c>
      <c r="G10" s="9">
        <f>Produits!I10</f>
        <v/>
      </c>
      <c r="H10" s="9">
        <f>LOWER(B10&amp;" "&amp;C10)</f>
        <v/>
      </c>
      <c r="J10" s="29" t="inlineStr">
        <is>
          <t>nb_achats_total</t>
        </is>
      </c>
      <c r="K10" s="45">
        <f>COUNTA(Achats!$A$5:$A$104)</f>
        <v/>
      </c>
    </row>
    <row r="11">
      <c r="A11" s="9">
        <f>Produits!A11</f>
        <v/>
      </c>
      <c r="B11" s="9">
        <f>Produits!B11</f>
        <v/>
      </c>
      <c r="C11" s="9">
        <f>Produits!K11</f>
        <v/>
      </c>
      <c r="D11" s="11">
        <f>Produits!D11</f>
        <v/>
      </c>
      <c r="E11" s="9">
        <f>Produits!H11</f>
        <v/>
      </c>
      <c r="F11" s="9">
        <f>IF(E11&gt;0,"En stock","Rupture")</f>
        <v/>
      </c>
      <c r="G11" s="9">
        <f>Produits!I11</f>
        <v/>
      </c>
      <c r="H11" s="9">
        <f>LOWER(B11&amp;" "&amp;C11)</f>
        <v/>
      </c>
    </row>
    <row r="12">
      <c r="A12" s="9">
        <f>Produits!A12</f>
        <v/>
      </c>
      <c r="B12" s="9">
        <f>Produits!B12</f>
        <v/>
      </c>
      <c r="C12" s="9">
        <f>Produits!K12</f>
        <v/>
      </c>
      <c r="D12" s="11">
        <f>Produits!D12</f>
        <v/>
      </c>
      <c r="E12" s="9">
        <f>Produits!H12</f>
        <v/>
      </c>
      <c r="F12" s="9">
        <f>IF(E12&gt;0,"En stock","Rupture")</f>
        <v/>
      </c>
      <c r="G12" s="9">
        <f>Produits!I12</f>
        <v/>
      </c>
      <c r="H12" s="9">
        <f>LOWER(B12&amp;" "&amp;C12)</f>
        <v/>
      </c>
    </row>
    <row r="13">
      <c r="A13" s="9">
        <f>Produits!A13</f>
        <v/>
      </c>
      <c r="B13" s="9">
        <f>Produits!B13</f>
        <v/>
      </c>
      <c r="C13" s="9">
        <f>Produits!K13</f>
        <v/>
      </c>
      <c r="D13" s="11">
        <f>Produits!D13</f>
        <v/>
      </c>
      <c r="E13" s="9">
        <f>Produits!H13</f>
        <v/>
      </c>
      <c r="F13" s="9">
        <f>IF(E13&gt;0,"En stock","Rupture")</f>
        <v/>
      </c>
      <c r="G13" s="9">
        <f>Produits!I13</f>
        <v/>
      </c>
      <c r="H13" s="9">
        <f>LOWER(B13&amp;" "&amp;C13)</f>
        <v/>
      </c>
    </row>
    <row r="14">
      <c r="A14" s="9">
        <f>Produits!A14</f>
        <v/>
      </c>
      <c r="B14" s="9">
        <f>Produits!B14</f>
        <v/>
      </c>
      <c r="C14" s="9">
        <f>Produits!K14</f>
        <v/>
      </c>
      <c r="D14" s="11">
        <f>Produits!D14</f>
        <v/>
      </c>
      <c r="E14" s="9">
        <f>Produits!H14</f>
        <v/>
      </c>
      <c r="F14" s="9">
        <f>IF(E14&gt;0,"En stock","Rupture")</f>
        <v/>
      </c>
      <c r="G14" s="9">
        <f>Produits!I14</f>
        <v/>
      </c>
      <c r="H14" s="9">
        <f>LOWER(B14&amp;" "&amp;C14)</f>
        <v/>
      </c>
    </row>
    <row r="15">
      <c r="A15" s="9">
        <f>Produits!A15</f>
        <v/>
      </c>
      <c r="B15" s="9">
        <f>Produits!B15</f>
        <v/>
      </c>
      <c r="C15" s="9">
        <f>Produits!K15</f>
        <v/>
      </c>
      <c r="D15" s="11">
        <f>Produits!D15</f>
        <v/>
      </c>
      <c r="E15" s="9">
        <f>Produits!H15</f>
        <v/>
      </c>
      <c r="F15" s="9">
        <f>IF(E15&gt;0,"En stock","Rupture")</f>
        <v/>
      </c>
      <c r="G15" s="9">
        <f>Produits!I15</f>
        <v/>
      </c>
      <c r="H15" s="9">
        <f>LOWER(B15&amp;" "&amp;C15)</f>
        <v/>
      </c>
    </row>
    <row r="16">
      <c r="A16" s="9">
        <f>Produits!A16</f>
        <v/>
      </c>
      <c r="B16" s="9">
        <f>Produits!B16</f>
        <v/>
      </c>
      <c r="C16" s="9">
        <f>Produits!K16</f>
        <v/>
      </c>
      <c r="D16" s="11">
        <f>Produits!D16</f>
        <v/>
      </c>
      <c r="E16" s="9">
        <f>Produits!H16</f>
        <v/>
      </c>
      <c r="F16" s="9">
        <f>IF(E16&gt;0,"En stock","Rupture")</f>
        <v/>
      </c>
      <c r="G16" s="9">
        <f>Produits!I16</f>
        <v/>
      </c>
      <c r="H16" s="9">
        <f>LOWER(B16&amp;" "&amp;C16)</f>
        <v/>
      </c>
    </row>
    <row r="17">
      <c r="A17" s="9">
        <f>Produits!A17</f>
        <v/>
      </c>
      <c r="B17" s="9">
        <f>Produits!B17</f>
        <v/>
      </c>
      <c r="C17" s="9">
        <f>Produits!K17</f>
        <v/>
      </c>
      <c r="D17" s="11">
        <f>Produits!D17</f>
        <v/>
      </c>
      <c r="E17" s="9">
        <f>Produits!H17</f>
        <v/>
      </c>
      <c r="F17" s="9">
        <f>IF(E17&gt;0,"En stock","Rupture")</f>
        <v/>
      </c>
      <c r="G17" s="9">
        <f>Produits!I17</f>
        <v/>
      </c>
      <c r="H17" s="9">
        <f>LOWER(B17&amp;" "&amp;C17)</f>
        <v/>
      </c>
    </row>
    <row r="18">
      <c r="A18" s="9">
        <f>Produits!A18</f>
        <v/>
      </c>
      <c r="B18" s="9">
        <f>Produits!B18</f>
        <v/>
      </c>
      <c r="C18" s="9">
        <f>Produits!K18</f>
        <v/>
      </c>
      <c r="D18" s="11">
        <f>Produits!D18</f>
        <v/>
      </c>
      <c r="E18" s="9">
        <f>Produits!H18</f>
        <v/>
      </c>
      <c r="F18" s="9">
        <f>IF(E18&gt;0,"En stock","Rupture")</f>
        <v/>
      </c>
      <c r="G18" s="9">
        <f>Produits!I18</f>
        <v/>
      </c>
      <c r="H18" s="9">
        <f>LOWER(B18&amp;" "&amp;C18)</f>
        <v/>
      </c>
    </row>
    <row r="19">
      <c r="A19" s="9">
        <f>Produits!A19</f>
        <v/>
      </c>
      <c r="B19" s="9">
        <f>Produits!B19</f>
        <v/>
      </c>
      <c r="C19" s="9">
        <f>Produits!K19</f>
        <v/>
      </c>
      <c r="D19" s="11">
        <f>Produits!D19</f>
        <v/>
      </c>
      <c r="E19" s="9">
        <f>Produits!H19</f>
        <v/>
      </c>
      <c r="F19" s="9">
        <f>IF(E19&gt;0,"En stock","Rupture")</f>
        <v/>
      </c>
      <c r="G19" s="9">
        <f>Produits!I19</f>
        <v/>
      </c>
      <c r="H19" s="9">
        <f>LOWER(B19&amp;" "&amp;C19)</f>
        <v/>
      </c>
    </row>
    <row r="20"/>
    <row r="21"/>
    <row r="22"/>
    <row r="23"/>
    <row r="24"/>
    <row r="25"/>
    <row r="26"/>
    <row r="27"/>
    <row r="28"/>
    <row r="29"/>
    <row r="30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ED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2026-09-18T15:20:40Z</dcterms:created>
  <dcterms:modified xsi:type="dcterms:W3CDTF">2026-09-18T15:20:40Z</dcterms:modified>
</cp:coreProperties>
</file>